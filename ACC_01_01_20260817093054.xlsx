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4" autoFilterDateGrouping="true" firstSheet="1" minimized="false" showHorizontalScroll="true" showSheetTabs="true" showVerticalScroll="true" tabRatio="664" visibility="visible"/>
  </bookViews>
  <sheets>
    <sheet name="PackageInfo" sheetId="1" r:id="rId4"/>
    <sheet name="Debtor" sheetId="2" r:id="rId5"/>
    <sheet name="Interrelated" sheetId="3" r:id="rId6"/>
    <sheet name="Owner" sheetId="4" r:id="rId7"/>
    <sheet name="Credit" sheetId="5" r:id="rId8"/>
    <sheet name="Collateral" sheetId="6" r:id="rId9"/>
    <sheet name="Guarantor" sheetId="7" r:id="rId10"/>
  </sheets>
  <definedNames>
    <definedName name="Version">PackageInfo!#REF!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<sst xmlns="http://schemas.openxmlformats.org/spreadsheetml/2006/main" uniqueCount="155">
  <si>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SourceName</t>
  </si>
  <si>
    <t>ACC</t>
  </si>
  <si>
    <t>StartDate</t>
  </si>
  <si>
    <t>EndDate</t>
  </si>
  <si>
    <t>CreatedDateTime</t>
  </si>
  <si>
    <t>FileCount</t>
  </si>
  <si>
    <t>FileNum</t>
  </si>
  <si>
    <t>Վարկառուի ներք. իդենտ. համար</t>
  </si>
  <si>
    <t>ì³ñÏ³éáõÇ Çñ³í. Ï³ñ·.</t>
  </si>
  <si>
    <t>Անվանում</t>
  </si>
  <si>
    <t>Վարկառուի ՀՎՀՀ/Անձնագիր</t>
  </si>
  <si>
    <t>Ֆիզ անձի ծննդյան ամսաթիվ</t>
  </si>
  <si>
    <t>Ֆիզ անձի անձգրի տրմ. ամսթ.</t>
  </si>
  <si>
    <t>Ֆիզ անձի անձգիր տվող մ.կոդ</t>
  </si>
  <si>
    <t>Սոցիալական քարտ</t>
  </si>
  <si>
    <t>Սեռը</t>
  </si>
  <si>
    <t>Ռեզ.</t>
  </si>
  <si>
    <t>Սեփ. ձև</t>
  </si>
  <si>
    <t>Հասցե</t>
  </si>
  <si>
    <t>Ոլորտ</t>
  </si>
  <si>
    <t>Պետ. Ռեգ. Գրանցմ. Համար</t>
  </si>
  <si>
    <t>Պետ. Ռեգ. Գրանցման ամսաթիվ</t>
  </si>
  <si>
    <t>Վարկ. Կազմակերպության տնօրեն</t>
  </si>
  <si>
    <t>Տնօրենի անձնագիր</t>
  </si>
  <si>
    <t>Նույնականացման քարտի համար</t>
  </si>
  <si>
    <t>Նույնականացման քարտի տրման ամսաթիվ</t>
  </si>
  <si>
    <t>Նույնականացման քարտն ում կողմից է տրվել</t>
  </si>
  <si>
    <t>Նշումներ</t>
  </si>
  <si>
    <t>6</t>
  </si>
  <si>
    <t>21</t>
  </si>
  <si>
    <t>Գևորգ^Հայրապետյան^Ֆիոլետի</t>
  </si>
  <si>
    <t>AR0512398</t>
  </si>
  <si>
    <t>050</t>
  </si>
  <si>
    <t>2407720261</t>
  </si>
  <si>
    <t>1</t>
  </si>
  <si>
    <t>25</t>
  </si>
  <si>
    <t>Հիլդա^Բաղդասարյան^Համազասպի</t>
  </si>
  <si>
    <t>AT0510208</t>
  </si>
  <si>
    <t>025</t>
  </si>
  <si>
    <t>5107660932</t>
  </si>
  <si>
    <t>32</t>
  </si>
  <si>
    <t>Սոնա^Եդոյան^Արտակի</t>
  </si>
  <si>
    <t>AT0357121</t>
  </si>
  <si>
    <t>001</t>
  </si>
  <si>
    <t>6808910243</t>
  </si>
  <si>
    <t>56</t>
  </si>
  <si>
    <t>Լիաննա^Հովհաննիսյան^Սերյոժայի</t>
  </si>
  <si>
    <t>AX0493691</t>
  </si>
  <si>
    <t>057</t>
  </si>
  <si>
    <t>6303960022</t>
  </si>
  <si>
    <t>29</t>
  </si>
  <si>
    <t>Մհեր^Հովսեփյան^Մհերի</t>
  </si>
  <si>
    <t>009965278</t>
  </si>
  <si>
    <t>070</t>
  </si>
  <si>
    <t>3910930395</t>
  </si>
  <si>
    <t>57</t>
  </si>
  <si>
    <t>Դավիթ^Հովհաննիսյան^Արմենի</t>
  </si>
  <si>
    <t>010988889</t>
  </si>
  <si>
    <t>007</t>
  </si>
  <si>
    <t>1212990064</t>
  </si>
  <si>
    <t>69</t>
  </si>
  <si>
    <t>Սվետլանա^Պետրոսյան^Ապետի</t>
  </si>
  <si>
    <t>010355741</t>
  </si>
  <si>
    <t>016</t>
  </si>
  <si>
    <t>5912650286</t>
  </si>
  <si>
    <t>10</t>
  </si>
  <si>
    <t>Գագիկ^Պողոսյան^Արտաշեսի</t>
  </si>
  <si>
    <t>011878063</t>
  </si>
  <si>
    <t>003</t>
  </si>
  <si>
    <t>2308850078</t>
  </si>
  <si>
    <t>102</t>
  </si>
  <si>
    <t>Դիանա^Պապիկյան^Արմենի</t>
  </si>
  <si>
    <t>AO0567155</t>
  </si>
  <si>
    <t>064</t>
  </si>
  <si>
    <t>6305990344</t>
  </si>
  <si>
    <t>77</t>
  </si>
  <si>
    <t>Արամ^Գաբրիելյան^Ղազարի</t>
  </si>
  <si>
    <t>019237353</t>
  </si>
  <si>
    <t>011</t>
  </si>
  <si>
    <t>3312970156</t>
  </si>
  <si>
    <t>125</t>
  </si>
  <si>
    <t>Կարինե^Հովհաննիսյան^Հովիկի</t>
  </si>
  <si>
    <t>022748305</t>
  </si>
  <si>
    <t>6001820562</t>
  </si>
  <si>
    <t>Վարկառուի ներքին իդենտիֆիկացման համար</t>
  </si>
  <si>
    <t>Կապակցված վարկառուի ներքին իդենտիֆիկացման համար</t>
  </si>
  <si>
    <t>Վարկառուի ներք. Իդենտ. Համար</t>
  </si>
  <si>
    <t>Մասնակցի ներքին իդենտ. Համար</t>
  </si>
  <si>
    <t>Կարգավիճակ</t>
  </si>
  <si>
    <t>Անվանում (Ա.Ա.)</t>
  </si>
  <si>
    <t>ՀՎՀՀ (Անձնագրի համար)</t>
  </si>
  <si>
    <t>Ծննդ. Ամս.</t>
  </si>
  <si>
    <t>Անձնագրի տրման ամսաթիվ</t>
  </si>
  <si>
    <t>Անձ. Տվող մարմին</t>
  </si>
  <si>
    <t>Սոց. քարտ</t>
  </si>
  <si>
    <t>Սեռ</t>
  </si>
  <si>
    <t>Սեփ. Ձև</t>
  </si>
  <si>
    <t>Գործուն. Ոլորտ</t>
  </si>
  <si>
    <t>Պետ. Ռեգ. Գրանցմ. Ամսաթիվ</t>
  </si>
  <si>
    <t>Գործ. Տնօրենի Ա.Ա.</t>
  </si>
  <si>
    <t>Գործ. Տն. Անձնագրի համար</t>
  </si>
  <si>
    <t>Վարկի ներք. Իդենտ. Համար</t>
  </si>
  <si>
    <t>Վարկի տրամ. Ամս.</t>
  </si>
  <si>
    <t>Վարկի մարմ. Ամս.</t>
  </si>
  <si>
    <t>Վարկի փաստ. Մարմ. Ամս.</t>
  </si>
  <si>
    <t>Վարկի տեսակ</t>
  </si>
  <si>
    <t>Պայմ. Վարկի գումար</t>
  </si>
  <si>
    <t>Փաստ. Տրամ. Գումար</t>
  </si>
  <si>
    <t>Փաստ. Մարվ. Գումար</t>
  </si>
  <si>
    <t>Փաստ. մնաց.</t>
  </si>
  <si>
    <t>Ժամկետանց մնաց.</t>
  </si>
  <si>
    <t>Ժամկետանց տոկոս</t>
  </si>
  <si>
    <t>Ժամկետանց դառնալու ամսաթիվ</t>
  </si>
  <si>
    <t>Արժույթի կոդ</t>
  </si>
  <si>
    <t>Վարկ. Ռիսկի դաս</t>
  </si>
  <si>
    <t>Վարկի կարգավիճակ</t>
  </si>
  <si>
    <t>Վարկի տոկոսադրույք</t>
  </si>
  <si>
    <t>Վարկի օգտ. Ոլորտ</t>
  </si>
  <si>
    <t>Վարկի օգտ. Վայր</t>
  </si>
  <si>
    <t>Վարկի պայման. Վերան. Թիվ</t>
  </si>
  <si>
    <t>ì³ñÏÇ å³ÛÙ³Ý³·ñÇ ³Ùë³ÃÇí</t>
  </si>
  <si>
    <t>Վարկային ռեգիստրի կոդ</t>
  </si>
  <si>
    <t>Ժամկետանց օրերի քանակ</t>
  </si>
  <si>
    <t>Վարկի վերջին դասակարգման ամսաթիվ</t>
  </si>
  <si>
    <t>A-26-00003</t>
  </si>
  <si>
    <t>AMD</t>
  </si>
  <si>
    <t>02</t>
  </si>
  <si>
    <t>0</t>
  </si>
  <si>
    <t>40.15</t>
  </si>
  <si>
    <t>A-26-00015</t>
  </si>
  <si>
    <t>A-26-00021</t>
  </si>
  <si>
    <t>A-26-00032</t>
  </si>
  <si>
    <t>01</t>
  </si>
  <si>
    <t>G-26-00033</t>
  </si>
  <si>
    <t>03</t>
  </si>
  <si>
    <t>A-26-00034</t>
  </si>
  <si>
    <t>G-26-00036</t>
  </si>
  <si>
    <t>P-26-00044</t>
  </si>
  <si>
    <t>G-26-00050</t>
  </si>
  <si>
    <t>05</t>
  </si>
  <si>
    <t>A-26-00076</t>
  </si>
  <si>
    <t>G-26-00083</t>
  </si>
  <si>
    <t>G-26-00107</t>
  </si>
  <si>
    <t>Գրավի արժեք</t>
  </si>
  <si>
    <t>Արժույթի կոդը</t>
  </si>
  <si>
    <t>Գրավի առարկան</t>
  </si>
  <si>
    <t>ÜßáõÙÝ»ñ</t>
  </si>
  <si>
    <t>12</t>
  </si>
  <si>
    <t>Երաշխավորի ներքին իդենտ. Համար</t>
  </si>
  <si>
    <t>Երաշխ. Գումար</t>
  </si>
  <si>
    <t>Երաշխավորության արժույթի կոդ</t>
  </si>
  <si>
    <t>68</t>
  </si>
  <si>
    <t>ֆիզիկական անձ</t>
  </si>
  <si>
    <t>Սեդա^Գևորգյան^Արբակի</t>
  </si>
  <si>
    <t>015283120</t>
  </si>
</sst>
</file>

<file path=xl/styles.xml><?xml version="1.0" encoding="utf-8"?>
<styleSheet xmlns="http://schemas.openxmlformats.org/spreadsheetml/2006/main" xml:space="preserve">
  <numFmts count="3">
    <numFmt numFmtId="164" formatCode="d/mm/yyyy"/>
    <numFmt numFmtId="165" formatCode="dd/mm/yyyy hh:mm:ss"/>
    <numFmt numFmtId="166" formatCode="dd/mm/yyyy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 Armenian"/>
    </font>
    <font>
      <b val="0"/>
      <i val="0"/>
      <strike val="0"/>
      <u val="none"/>
      <sz val="10"/>
      <color rgb="FF000000"/>
      <name val="Arial Unicod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 applyProtection="true">
      <protection locked="false"/>
    </xf>
    <xf xfId="0" fontId="1" numFmtId="14" fillId="0" borderId="0" applyFont="1" applyNumberFormat="1" applyFill="0" applyBorder="0" applyAlignment="0" applyProtection="true">
      <protection locked="false"/>
    </xf>
    <xf xfId="0" fontId="1" numFmtId="2" fillId="0" borderId="0" applyFont="1" applyNumberFormat="1" applyFill="0" applyBorder="0" applyAlignment="0" applyProtection="true">
      <protection locked="false"/>
    </xf>
    <xf xfId="0" fontId="0" numFmtId="49" fillId="0" borderId="0" applyFont="0" applyNumberFormat="1" applyFill="0" applyBorder="0" applyAlignment="0" applyProtection="true">
      <protection locked="false"/>
    </xf>
    <xf xfId="0" fontId="0" numFmtId="14" fillId="0" borderId="0" applyFont="0" applyNumberFormat="1" applyFill="0" applyBorder="0" applyAlignment="0" applyProtection="true">
      <protection locked="false"/>
    </xf>
    <xf xfId="0" fontId="0" numFmtId="2" fillId="0" borderId="0" applyFont="0" applyNumberFormat="1" applyFill="0" applyBorder="0" applyAlignment="0" applyProtection="true">
      <protection locked="false"/>
    </xf>
    <xf xfId="0" fontId="2" numFmtId="0" fillId="2" borderId="0" applyFont="1" applyNumberFormat="0" applyFill="1" applyBorder="0" applyAlignment="0"/>
    <xf xfId="0" fontId="2" numFmtId="49" fillId="0" borderId="0" applyFont="1" applyNumberFormat="1" applyFill="0" applyBorder="0" applyAlignment="0"/>
    <xf xfId="0" fontId="0" numFmtId="1" fillId="0" borderId="0" applyFont="0" applyNumberFormat="1" applyFill="0" applyBorder="0" applyAlignment="0" applyProtection="true">
      <protection locked="false"/>
    </xf>
    <xf xfId="0" fontId="2" numFmtId="49" fillId="3" borderId="1" applyFont="1" applyNumberFormat="1" applyFill="1" applyBorder="1" applyAlignment="1">
      <alignment horizontal="left" vertical="center" textRotation="0" wrapText="false" shrinkToFit="false"/>
    </xf>
    <xf xfId="0" fontId="2" numFmtId="49" fillId="3" borderId="2" applyFont="1" applyNumberFormat="1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3" applyFont="1" applyNumberFormat="0" applyFill="1" applyBorder="1" applyAlignment="1">
      <alignment horizontal="left" vertical="center" textRotation="0" wrapText="false" shrinkToFit="false"/>
    </xf>
    <xf xfId="0" fontId="2" numFmtId="49" fillId="0" borderId="0" applyFont="1" applyNumberFormat="1" applyFill="0" applyBorder="0" applyAlignment="1">
      <alignment horizontal="left" vertical="center" textRotation="0" wrapText="false" shrinkToFit="false"/>
    </xf>
    <xf xfId="0" fontId="1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49" fillId="0" borderId="0" applyFont="1" applyNumberFormat="1" applyFill="0" applyBorder="0" applyAlignment="1">
      <alignment horizontal="left" vertical="center" textRotation="0" wrapText="false" shrinkToFit="false"/>
    </xf>
    <xf xfId="0" fontId="2" numFmtId="14" fillId="0" borderId="0" applyFont="1" applyNumberFormat="1" applyFill="0" applyBorder="0" applyAlignment="1">
      <alignment horizontal="left" vertical="center" textRotation="0" wrapText="false" shrinkToFit="false"/>
    </xf>
    <xf xfId="0" fontId="1" numFmtId="14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49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2" fillId="0" borderId="0" applyFont="1" applyNumberFormat="1" applyFill="0" applyBorder="0" applyAlignment="1">
      <alignment horizontal="left" vertical="center" textRotation="0" wrapText="false" shrinkToFit="false"/>
    </xf>
    <xf xfId="0" fontId="0" numFmtId="2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1" fillId="0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1" numFmtId="14" fillId="0" borderId="0" applyFont="1" applyNumberFormat="1" applyFill="0" applyBorder="0" applyAlignment="1">
      <alignment horizontal="left" vertical="center" textRotation="0" wrapText="false" shrinkToFit="false"/>
    </xf>
    <xf xfId="0" fontId="2" numFmtId="1" fillId="0" borderId="0" applyFont="1" applyNumberFormat="1" applyFill="0" applyBorder="0" applyAlignment="1">
      <alignment horizontal="left" vertical="center" textRotation="0" wrapText="false" shrinkToFit="false"/>
    </xf>
    <xf xfId="0" fontId="1" numFmtId="2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2" numFmtId="49" fillId="0" borderId="4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0" borderId="5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2" numFmtId="164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165" fillId="2" borderId="6" applyFont="1" applyNumberFormat="1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6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2" numFmtId="0" fillId="2" borderId="7" applyFont="1" applyNumberFormat="0" applyFill="1" applyBorder="1" applyAlignment="1" applyProtection="true">
      <alignment horizontal="right" vertical="center" textRotation="0" wrapText="false" shrinkToFit="false"/>
      <protection locked="false"/>
    </xf>
    <xf xfId="0" fontId="1" numFmtId="166" fillId="0" borderId="0" applyFont="1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66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0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B1" sqref="B1:B6"/>
    </sheetView>
  </sheetViews>
  <sheetFormatPr defaultRowHeight="14.4" outlineLevelRow="0" outlineLevelCol="0"/>
  <cols>
    <col min="1" max="1" width="18.5703125" customWidth="true" style="7"/>
    <col min="2" max="2" width="22" customWidth="true" style="7"/>
  </cols>
  <sheetData>
    <row r="1" spans="1:2">
      <c r="A1" s="10" t="s">
        <v>0</v>
      </c>
      <c r="B1" s="26" t="s">
        <v>1</v>
      </c>
    </row>
    <row r="2" spans="1:2">
      <c r="A2" s="11" t="s">
        <v>2</v>
      </c>
      <c r="B2" s="27">
        <v>46248.0</v>
      </c>
    </row>
    <row r="3" spans="1:2">
      <c r="A3" s="11" t="s">
        <v>3</v>
      </c>
      <c r="B3" s="28">
        <v>46251.0</v>
      </c>
    </row>
    <row r="4" spans="1:2">
      <c r="A4" s="11" t="s">
        <v>4</v>
      </c>
      <c r="B4" s="29">
        <v>46251.396458333</v>
      </c>
    </row>
    <row r="5" spans="1:2">
      <c r="A5" s="12" t="s">
        <v>5</v>
      </c>
      <c r="B5" s="30">
        <v>1</v>
      </c>
    </row>
    <row r="6" spans="1:2" customHeight="1" ht="13.5">
      <c r="A6" s="13" t="s">
        <v>6</v>
      </c>
      <c r="B6" s="31">
        <v>1</v>
      </c>
    </row>
  </sheetData>
  <sheetProtection algorithmName="SHA-512" hashValue="6mdq8fKQY7fV0WR/bTujYBOZR9BF6kfOhAE3RWS1Kx1EuOc0sUvUhvAvnUUBMC00vVftVCsWKzAZESyPAV34MA==" saltValue="z/qIyfMFFuL96/e3V24srw==" spinCount="100000" sheet="1" objects="1" scenarios="1"/>
  <dataValidations count="6">
    <dataValidation type="time" allowBlank="1" showDropDown="0" showInputMessage="1" showErrorMessage="1" errorTitle="Սխալ մուտքագրում" error="Մուտքագրված տվյալները պարունակում են անճշտություններ" sqref="B4">
      <formula1>B3</formula1>
      <formula2>NOW()</formula2>
    </dataValidation>
    <dataValidation type="date" allowBlank="0" showDropDown="0" showInputMessage="1" showErrorMessage="1" errorTitle="Սխալ մուտքագրում" error="Մուտքագրված ամսաթիվը պարունակում է անճշտություններ" promptTitle="Ժամանակաշրջանի սկիզբ" sqref="B3">
      <formula1>B2</formula1>
      <formula2>B4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5">
      <formula1>1</formula1>
      <formula2>5</formula2>
    </dataValidation>
    <dataValidation type="textLength" operator="equal" allowBlank="1" showDropDown="0" showInputMessage="1" showErrorMessage="1" errorTitle="Մուտքագրված տվյալները սխալ են" error="Մուտքագրված ամսաթիվը պարունակում է անճշտություններ" sqref="B1">
      <formula1>3</formula1>
    </dataValidation>
    <dataValidation type="date" allowBlank="0" showDropDown="0" showInputMessage="1" showErrorMessage="1" errorTitle="Մուտքագրված տվյալները սխալ են" error="Մուտքագրված ամսաթիվը պարունակում է անճշտություններ" promptTitle="Ժամանակաշրջանի սկիզբ" sqref="B2">
      <formula1>33604</formula1>
      <formula2>B3</formula2>
    </dataValidation>
    <dataValidation type="whole" allowBlank="1" showDropDown="0" showInputMessage="1" showErrorMessage="1" errorTitle="Սխալ մուտքագրում" error="Մուտքագրված տվայլները պարունակում են անճշտություններ" sqref="B6">
      <formula1>1</formula1>
      <formula2>B5</formula2>
    </dataValidation>
  </dataValidations>
  <printOptions gridLines="false" gridLinesSet="true"/>
  <pageMargins left="0.75" right="0.75" top="1" bottom="1" header="0.5" footer="0.5"/>
  <pageSetup paperSize="9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2"/>
  <sheetViews>
    <sheetView tabSelected="0" workbookViewId="0" showGridLines="true" showRowColHeaders="1" topLeftCell="F1">
      <selection activeCell="F2" sqref="F2:F12"/>
    </sheetView>
  </sheetViews>
  <sheetFormatPr defaultRowHeight="14.4" outlineLevelRow="0" outlineLevelCol="0"/>
  <cols>
    <col min="1" max="1" width="31" customWidth="true" style="1"/>
    <col min="2" max="2" width="23" customWidth="true" style="1"/>
    <col min="3" max="3" width="9.7109375" customWidth="true" style="1"/>
    <col min="4" max="4" width="26.7109375" customWidth="true" style="1"/>
    <col min="5" max="5" width="26.7109375" customWidth="true" style="2"/>
    <col min="6" max="6" width="27.85546875" customWidth="true" style="2"/>
    <col min="7" max="7" width="28" customWidth="true" style="1"/>
    <col min="8" max="8" width="18.85546875" customWidth="true" style="1"/>
    <col min="9" max="9" width="5.28515625" customWidth="true" style="1"/>
    <col min="10" max="10" width="5.140625" customWidth="true" style="1"/>
    <col min="11" max="11" width="8" customWidth="true" style="1"/>
    <col min="12" max="12" width="6.7109375" customWidth="true" style="1"/>
    <col min="13" max="13" width="6.5703125" customWidth="true" style="1"/>
    <col min="14" max="14" width="25.7109375" customWidth="true" style="1"/>
    <col min="15" max="15" width="29.85546875" customWidth="true" style="2"/>
    <col min="16" max="16" width="32.140625" customWidth="true" style="1"/>
    <col min="17" max="17" width="18.42578125" customWidth="true" style="1"/>
    <col min="18" max="18" width="31.28515625" customWidth="true" style="1"/>
    <col min="19" max="19" width="40.5703125" customWidth="true" style="2"/>
    <col min="20" max="20" width="42.28515625" customWidth="true" style="1"/>
    <col min="21" max="21" width="9" customWidth="true" style="1"/>
  </cols>
  <sheetData>
    <row r="1" spans="1:21" s="8" customFormat="1">
      <c r="A1" s="14" t="s">
        <v>7</v>
      </c>
      <c r="B1" s="16" t="s">
        <v>8</v>
      </c>
      <c r="C1" s="14" t="s">
        <v>9</v>
      </c>
      <c r="D1" s="14" t="s">
        <v>10</v>
      </c>
      <c r="E1" s="17" t="s">
        <v>11</v>
      </c>
      <c r="F1" s="17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  <c r="O1" s="17" t="s">
        <v>21</v>
      </c>
      <c r="P1" s="14" t="s">
        <v>22</v>
      </c>
      <c r="Q1" s="14" t="s">
        <v>23</v>
      </c>
      <c r="R1" s="14" t="s">
        <v>24</v>
      </c>
      <c r="S1" s="17" t="s">
        <v>25</v>
      </c>
      <c r="T1" s="14" t="s">
        <v>26</v>
      </c>
      <c r="U1" s="14" t="s">
        <v>27</v>
      </c>
    </row>
    <row r="2" spans="1:21">
      <c r="A2" s="15" t="s">
        <v>28</v>
      </c>
      <c r="B2" s="15" t="s">
        <v>29</v>
      </c>
      <c r="C2" s="15" t="s">
        <v>30</v>
      </c>
      <c r="D2" s="15" t="s">
        <v>31</v>
      </c>
      <c r="E2" s="32">
        <v>26494.0</v>
      </c>
      <c r="F2" s="32">
        <v>43055.0</v>
      </c>
      <c r="G2" s="15" t="s">
        <v>32</v>
      </c>
      <c r="H2" s="15" t="s">
        <v>33</v>
      </c>
      <c r="I2" s="15"/>
      <c r="J2" s="15" t="s">
        <v>34</v>
      </c>
      <c r="K2" s="15"/>
      <c r="L2" s="15"/>
      <c r="M2" s="15"/>
      <c r="N2" s="15"/>
      <c r="O2" s="18"/>
      <c r="P2" s="15"/>
      <c r="Q2" s="15"/>
      <c r="R2" s="15"/>
      <c r="S2" s="18"/>
      <c r="T2" s="15"/>
      <c r="U2" s="15"/>
    </row>
    <row r="3" spans="1:21">
      <c r="A3" s="15" t="s">
        <v>35</v>
      </c>
      <c r="B3" s="15" t="s">
        <v>29</v>
      </c>
      <c r="C3" s="15" t="s">
        <v>36</v>
      </c>
      <c r="D3" s="15" t="s">
        <v>37</v>
      </c>
      <c r="E3" s="32">
        <v>24471.0</v>
      </c>
      <c r="F3" s="32">
        <v>44007.0</v>
      </c>
      <c r="G3" s="15" t="s">
        <v>38</v>
      </c>
      <c r="H3" s="15" t="s">
        <v>39</v>
      </c>
      <c r="I3" s="15"/>
      <c r="J3" s="15" t="s">
        <v>34</v>
      </c>
      <c r="K3" s="15"/>
      <c r="L3" s="15"/>
      <c r="M3" s="15"/>
      <c r="N3" s="15"/>
      <c r="O3" s="18"/>
      <c r="P3" s="15"/>
      <c r="Q3" s="15"/>
      <c r="R3" s="15"/>
      <c r="S3" s="18"/>
      <c r="T3" s="15"/>
      <c r="U3" s="15"/>
    </row>
    <row r="4" spans="1:21">
      <c r="A4" s="15" t="s">
        <v>40</v>
      </c>
      <c r="B4" s="15" t="s">
        <v>29</v>
      </c>
      <c r="C4" s="15" t="s">
        <v>41</v>
      </c>
      <c r="D4" s="15" t="s">
        <v>42</v>
      </c>
      <c r="E4" s="32">
        <v>33468.0</v>
      </c>
      <c r="F4" s="32">
        <v>43845.0</v>
      </c>
      <c r="G4" s="15" t="s">
        <v>43</v>
      </c>
      <c r="H4" s="15" t="s">
        <v>44</v>
      </c>
      <c r="I4" s="15"/>
      <c r="J4" s="15" t="s">
        <v>34</v>
      </c>
      <c r="K4" s="15"/>
      <c r="L4" s="15"/>
      <c r="M4" s="15"/>
      <c r="N4" s="15"/>
      <c r="O4" s="18"/>
      <c r="P4" s="15"/>
      <c r="Q4" s="15"/>
      <c r="R4" s="15"/>
      <c r="S4" s="18"/>
      <c r="T4" s="15"/>
      <c r="U4" s="15"/>
    </row>
    <row r="5" spans="1:21">
      <c r="A5" s="15" t="s">
        <v>45</v>
      </c>
      <c r="B5" s="15" t="s">
        <v>29</v>
      </c>
      <c r="C5" s="15" t="s">
        <v>46</v>
      </c>
      <c r="D5" s="15" t="s">
        <v>47</v>
      </c>
      <c r="E5" s="32">
        <v>35137.0</v>
      </c>
      <c r="F5" s="32">
        <v>45562.0</v>
      </c>
      <c r="G5" s="15" t="s">
        <v>48</v>
      </c>
      <c r="H5" s="15" t="s">
        <v>49</v>
      </c>
      <c r="I5" s="15"/>
      <c r="J5" s="15" t="s">
        <v>34</v>
      </c>
      <c r="K5" s="15"/>
      <c r="L5" s="15"/>
      <c r="M5" s="15"/>
      <c r="N5" s="15"/>
      <c r="O5" s="18"/>
      <c r="P5" s="15"/>
      <c r="Q5" s="15"/>
      <c r="R5" s="15"/>
      <c r="S5" s="18"/>
      <c r="T5" s="15"/>
      <c r="U5" s="15"/>
    </row>
    <row r="6" spans="1:21">
      <c r="A6" s="15" t="s">
        <v>50</v>
      </c>
      <c r="B6" s="15" t="s">
        <v>29</v>
      </c>
      <c r="C6" s="15" t="s">
        <v>51</v>
      </c>
      <c r="D6" s="15" t="s">
        <v>52</v>
      </c>
      <c r="E6" s="32">
        <v>34271.0</v>
      </c>
      <c r="F6" s="32">
        <v>43140.0</v>
      </c>
      <c r="G6" s="15" t="s">
        <v>53</v>
      </c>
      <c r="H6" s="15" t="s">
        <v>54</v>
      </c>
      <c r="I6" s="15"/>
      <c r="J6" s="15" t="s">
        <v>34</v>
      </c>
      <c r="K6" s="15"/>
      <c r="L6" s="15"/>
      <c r="M6" s="15"/>
      <c r="N6" s="15"/>
      <c r="O6" s="18"/>
      <c r="P6" s="15"/>
      <c r="Q6" s="15"/>
      <c r="R6" s="15"/>
      <c r="S6" s="18"/>
      <c r="T6" s="15"/>
      <c r="U6" s="15"/>
    </row>
    <row r="7" spans="1:21">
      <c r="A7" s="15" t="s">
        <v>55</v>
      </c>
      <c r="B7" s="15" t="s">
        <v>29</v>
      </c>
      <c r="C7" s="15" t="s">
        <v>56</v>
      </c>
      <c r="D7" s="15" t="s">
        <v>57</v>
      </c>
      <c r="E7" s="32">
        <v>36496.0</v>
      </c>
      <c r="F7" s="32">
        <v>43850.0</v>
      </c>
      <c r="G7" s="15" t="s">
        <v>58</v>
      </c>
      <c r="H7" s="15" t="s">
        <v>59</v>
      </c>
      <c r="I7" s="15"/>
      <c r="J7" s="15" t="s">
        <v>34</v>
      </c>
      <c r="K7" s="15"/>
      <c r="L7" s="15"/>
      <c r="M7" s="15"/>
      <c r="N7" s="15"/>
      <c r="O7" s="18"/>
      <c r="P7" s="15"/>
      <c r="Q7" s="15"/>
      <c r="R7" s="15"/>
      <c r="S7" s="18"/>
      <c r="T7" s="15"/>
      <c r="U7" s="15"/>
    </row>
    <row r="8" spans="1:21">
      <c r="A8" s="15" t="s">
        <v>60</v>
      </c>
      <c r="B8" s="15" t="s">
        <v>29</v>
      </c>
      <c r="C8" s="15" t="s">
        <v>61</v>
      </c>
      <c r="D8" s="15" t="s">
        <v>62</v>
      </c>
      <c r="E8" s="32">
        <v>24085.0</v>
      </c>
      <c r="F8" s="32">
        <v>43451.0</v>
      </c>
      <c r="G8" s="15" t="s">
        <v>63</v>
      </c>
      <c r="H8" s="15" t="s">
        <v>64</v>
      </c>
      <c r="I8" s="15"/>
      <c r="J8" s="15" t="s">
        <v>34</v>
      </c>
      <c r="K8" s="15"/>
      <c r="L8" s="15"/>
      <c r="M8" s="15"/>
      <c r="N8" s="15"/>
      <c r="O8" s="18"/>
      <c r="P8" s="15"/>
      <c r="Q8" s="15"/>
      <c r="R8" s="15"/>
      <c r="S8" s="18"/>
      <c r="T8" s="15"/>
      <c r="U8" s="15"/>
    </row>
    <row r="9" spans="1:21">
      <c r="A9" s="15" t="s">
        <v>65</v>
      </c>
      <c r="B9" s="15" t="s">
        <v>29</v>
      </c>
      <c r="C9" s="15" t="s">
        <v>66</v>
      </c>
      <c r="D9" s="15" t="s">
        <v>67</v>
      </c>
      <c r="E9" s="32">
        <v>31272.0</v>
      </c>
      <c r="F9" s="32">
        <v>44228.0</v>
      </c>
      <c r="G9" s="15" t="s">
        <v>68</v>
      </c>
      <c r="H9" s="15" t="s">
        <v>69</v>
      </c>
      <c r="I9" s="15"/>
      <c r="J9" s="15" t="s">
        <v>34</v>
      </c>
      <c r="K9" s="15"/>
      <c r="L9" s="15"/>
      <c r="M9" s="15"/>
      <c r="N9" s="15"/>
      <c r="O9" s="18"/>
      <c r="P9" s="15"/>
      <c r="Q9" s="15"/>
      <c r="R9" s="15"/>
      <c r="S9" s="18"/>
      <c r="T9" s="15"/>
      <c r="U9" s="15"/>
    </row>
    <row r="10" spans="1:21">
      <c r="A10" s="15" t="s">
        <v>70</v>
      </c>
      <c r="B10" s="15" t="s">
        <v>29</v>
      </c>
      <c r="C10" s="15" t="s">
        <v>71</v>
      </c>
      <c r="D10" s="15" t="s">
        <v>72</v>
      </c>
      <c r="E10" s="32">
        <v>36293.0</v>
      </c>
      <c r="F10" s="32">
        <v>46148.0</v>
      </c>
      <c r="G10" s="15" t="s">
        <v>73</v>
      </c>
      <c r="H10" s="15" t="s">
        <v>74</v>
      </c>
      <c r="I10" s="15"/>
      <c r="J10" s="15" t="s">
        <v>34</v>
      </c>
      <c r="K10" s="15"/>
      <c r="L10" s="15"/>
      <c r="M10" s="15"/>
      <c r="N10" s="15"/>
      <c r="O10" s="18"/>
      <c r="P10" s="15"/>
      <c r="Q10" s="15"/>
      <c r="R10" s="15"/>
      <c r="S10" s="18"/>
      <c r="T10" s="15"/>
      <c r="U10" s="15"/>
    </row>
    <row r="11" spans="1:21">
      <c r="A11" s="15" t="s">
        <v>75</v>
      </c>
      <c r="B11" s="15" t="s">
        <v>29</v>
      </c>
      <c r="C11" s="15" t="s">
        <v>76</v>
      </c>
      <c r="D11" s="15" t="s">
        <v>77</v>
      </c>
      <c r="E11" s="32">
        <v>35787.0</v>
      </c>
      <c r="F11" s="32">
        <v>45905.0</v>
      </c>
      <c r="G11" s="15" t="s">
        <v>78</v>
      </c>
      <c r="H11" s="15" t="s">
        <v>79</v>
      </c>
      <c r="I11" s="15"/>
      <c r="J11" s="15" t="s">
        <v>34</v>
      </c>
      <c r="K11" s="15"/>
      <c r="L11" s="15"/>
      <c r="M11" s="15"/>
      <c r="N11" s="15"/>
      <c r="O11" s="18"/>
      <c r="P11" s="15"/>
      <c r="Q11" s="15"/>
      <c r="R11" s="15"/>
      <c r="S11" s="18"/>
      <c r="T11" s="15"/>
      <c r="U11" s="15"/>
    </row>
    <row r="12" spans="1:21">
      <c r="A12" s="15" t="s">
        <v>80</v>
      </c>
      <c r="B12" s="15" t="s">
        <v>29</v>
      </c>
      <c r="C12" s="15" t="s">
        <v>81</v>
      </c>
      <c r="D12" s="15" t="s">
        <v>82</v>
      </c>
      <c r="E12" s="32">
        <v>29961.0</v>
      </c>
      <c r="F12" s="32">
        <v>46118.0</v>
      </c>
      <c r="G12" s="15" t="s">
        <v>58</v>
      </c>
      <c r="H12" s="15" t="s">
        <v>83</v>
      </c>
      <c r="I12" s="15"/>
      <c r="J12" s="15" t="s">
        <v>34</v>
      </c>
      <c r="K12" s="15"/>
      <c r="L12" s="15"/>
      <c r="M12" s="15"/>
      <c r="N12" s="15"/>
      <c r="O12" s="18"/>
      <c r="P12" s="15"/>
      <c r="Q12" s="15"/>
      <c r="R12" s="15"/>
      <c r="S12" s="18"/>
      <c r="T12" s="15"/>
      <c r="U12" s="15"/>
    </row>
  </sheetData>
  <sheetProtection algorithmName="SHA-512" hashValue="0fU47ECia8epkM3oKMmBhyHyGziHh5Ql0xGcwY14uudiXrzkQV0UjI/mWTe4uenO20Y2DgyRWsBwARqHaGdVFg==" saltValue="EC+419yyoMo93JVBhmLyV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49.28515625" customWidth="true" style="1"/>
    <col min="2" max="2" width="60.7109375" customWidth="true" style="1"/>
    <col min="3" max="3" width="9.140625" customWidth="true" style="1"/>
  </cols>
  <sheetData>
    <row r="1" spans="1:3" s="8" customFormat="1">
      <c r="A1" s="14" t="s">
        <v>84</v>
      </c>
      <c r="B1" s="14" t="s">
        <v>85</v>
      </c>
      <c r="C1" s="14" t="s">
        <v>27</v>
      </c>
    </row>
  </sheetData>
  <sheetProtection algorithmName="SHA-512" hashValue="z5eVf/7OS1j44EItkMLa4b5SjIpUz1CC5pOefxErab7OWL/n0xvMf3bnHNcbjfGCmzU2+jG/wUF0m84pHFtY/w==" saltValue="tUtRKHvR8iLQIajD/Gv+Ng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"/>
  <sheetViews>
    <sheetView tabSelected="0" workbookViewId="0" showGridLines="true" showRowColHeaders="1">
      <selection activeCell="A1" sqref="A1:V1"/>
    </sheetView>
  </sheetViews>
  <sheetFormatPr defaultRowHeight="14.4" outlineLevelRow="0" outlineLevelCol="0"/>
  <cols>
    <col min="1" max="1" width="31.42578125" customWidth="true" style="1"/>
    <col min="2" max="2" width="31.85546875" customWidth="true" style="1"/>
    <col min="3" max="3" width="13.28515625" customWidth="true" style="1"/>
    <col min="4" max="4" width="15.710937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31.28515625" customWidth="true" style="1"/>
    <col min="20" max="20" width="40.5703125" customWidth="true" style="2"/>
    <col min="21" max="21" width="42.28515625" customWidth="true" style="1"/>
    <col min="22" max="22" width="9" customWidth="true" style="1"/>
  </cols>
  <sheetData>
    <row r="1" spans="1:22" s="8" customFormat="1">
      <c r="A1" s="14" t="s">
        <v>86</v>
      </c>
      <c r="B1" s="14" t="s">
        <v>87</v>
      </c>
      <c r="C1" s="14" t="s">
        <v>88</v>
      </c>
      <c r="D1" s="16" t="s">
        <v>89</v>
      </c>
      <c r="E1" s="14" t="s">
        <v>90</v>
      </c>
      <c r="F1" s="17" t="s">
        <v>91</v>
      </c>
      <c r="G1" s="17" t="s">
        <v>92</v>
      </c>
      <c r="H1" s="14" t="s">
        <v>93</v>
      </c>
      <c r="I1" s="14" t="s">
        <v>94</v>
      </c>
      <c r="J1" s="14" t="s">
        <v>95</v>
      </c>
      <c r="K1" s="14" t="s">
        <v>16</v>
      </c>
      <c r="L1" s="14" t="s">
        <v>96</v>
      </c>
      <c r="M1" s="14" t="s">
        <v>18</v>
      </c>
      <c r="N1" s="14" t="s">
        <v>97</v>
      </c>
      <c r="O1" s="14" t="s">
        <v>20</v>
      </c>
      <c r="P1" s="17" t="s">
        <v>98</v>
      </c>
      <c r="Q1" s="14" t="s">
        <v>99</v>
      </c>
      <c r="R1" s="14" t="s">
        <v>100</v>
      </c>
      <c r="S1" s="14" t="s">
        <v>24</v>
      </c>
      <c r="T1" s="17" t="s">
        <v>25</v>
      </c>
      <c r="U1" s="14" t="s">
        <v>26</v>
      </c>
      <c r="V1" s="14" t="s">
        <v>27</v>
      </c>
    </row>
  </sheetData>
  <sheetProtection algorithmName="SHA-512" hashValue="vJl4duSkitaJl6lYDA46cAIbVkMrLDiAC6bl4j6flvqzQfLh0LVMaxZkj2rBaW9fkcAz89d3JRIKPlNdImGPTg==" saltValue="0j/DrsgnIqQiGkDtUKo01w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3"/>
  <sheetViews>
    <sheetView tabSelected="1" workbookViewId="0" showGridLines="true" showRowColHeaders="1" topLeftCell="T1">
      <selection activeCell="X2" sqref="X2:X13"/>
    </sheetView>
  </sheetViews>
  <sheetFormatPr defaultRowHeight="14.4" outlineLevelRow="0" outlineLevelCol="0"/>
  <cols>
    <col min="1" max="1" width="31.42578125" customWidth="true" style="4"/>
    <col min="2" max="2" width="26.5703125" customWidth="true" style="4"/>
    <col min="3" max="3" width="18.140625" customWidth="true" style="5"/>
    <col min="4" max="4" width="17.42578125" customWidth="true" style="5"/>
    <col min="5" max="5" width="25" customWidth="true" style="5"/>
    <col min="6" max="6" width="14" customWidth="true" style="4"/>
    <col min="7" max="7" width="19.5703125" customWidth="true" style="6"/>
    <col min="8" max="8" width="20.85546875" customWidth="true" style="6"/>
    <col min="9" max="9" width="21.140625" customWidth="true" style="6"/>
    <col min="10" max="10" width="13.140625" customWidth="true" style="6"/>
    <col min="11" max="11" width="18.140625" customWidth="true" style="6"/>
    <col min="12" max="12" width="18.7109375" customWidth="true" style="6"/>
    <col min="13" max="13" width="30.85546875" customWidth="true" style="5"/>
    <col min="14" max="14" width="12.28515625" customWidth="true" style="4"/>
    <col min="15" max="15" width="17" customWidth="true" style="4"/>
    <col min="16" max="16" width="19.7109375" customWidth="true" style="4"/>
    <col min="17" max="17" width="20.5703125" customWidth="true" style="4"/>
    <col min="18" max="18" width="18.42578125" customWidth="true" style="4"/>
    <col min="19" max="19" width="17.28515625" customWidth="true" style="4"/>
    <col min="20" max="20" width="27.140625" customWidth="true" style="4"/>
    <col min="21" max="21" width="28.42578125" customWidth="true" style="5"/>
    <col min="22" max="22" width="23.42578125" customWidth="true" style="4"/>
    <col min="23" max="23" width="25.140625" customWidth="true" style="9"/>
    <col min="24" max="24" width="37.42578125" customWidth="true" style="5"/>
    <col min="25" max="25" width="9" customWidth="true" style="4"/>
  </cols>
  <sheetData>
    <row r="1" spans="1:25" s="8" customFormat="1">
      <c r="A1" s="14" t="s">
        <v>86</v>
      </c>
      <c r="B1" s="14" t="s">
        <v>101</v>
      </c>
      <c r="C1" s="17" t="s">
        <v>102</v>
      </c>
      <c r="D1" s="17" t="s">
        <v>103</v>
      </c>
      <c r="E1" s="17" t="s">
        <v>104</v>
      </c>
      <c r="F1" s="14" t="s">
        <v>105</v>
      </c>
      <c r="G1" s="20" t="s">
        <v>106</v>
      </c>
      <c r="H1" s="20" t="s">
        <v>107</v>
      </c>
      <c r="I1" s="20" t="s">
        <v>108</v>
      </c>
      <c r="J1" s="20" t="s">
        <v>109</v>
      </c>
      <c r="K1" s="20" t="s">
        <v>110</v>
      </c>
      <c r="L1" s="20" t="s">
        <v>111</v>
      </c>
      <c r="M1" s="17" t="s">
        <v>112</v>
      </c>
      <c r="N1" s="14" t="s">
        <v>113</v>
      </c>
      <c r="O1" s="14" t="s">
        <v>114</v>
      </c>
      <c r="P1" s="14" t="s">
        <v>115</v>
      </c>
      <c r="Q1" s="14" t="s">
        <v>116</v>
      </c>
      <c r="R1" s="14" t="s">
        <v>117</v>
      </c>
      <c r="S1" s="14" t="s">
        <v>118</v>
      </c>
      <c r="T1" s="14" t="s">
        <v>119</v>
      </c>
      <c r="U1" s="23" t="s">
        <v>120</v>
      </c>
      <c r="V1" s="14" t="s">
        <v>121</v>
      </c>
      <c r="W1" s="24" t="s">
        <v>122</v>
      </c>
      <c r="X1" s="17" t="s">
        <v>123</v>
      </c>
      <c r="Y1" s="14" t="s">
        <v>27</v>
      </c>
    </row>
    <row r="2" spans="1:25">
      <c r="A2" s="19" t="s">
        <v>28</v>
      </c>
      <c r="B2" s="19" t="s">
        <v>124</v>
      </c>
      <c r="C2" s="33">
        <v>46078.0</v>
      </c>
      <c r="D2" s="33">
        <v>47904.0</v>
      </c>
      <c r="E2" s="34"/>
      <c r="F2" s="19" t="s">
        <v>43</v>
      </c>
      <c r="G2" s="21">
        <v>1500000.0</v>
      </c>
      <c r="H2" s="21">
        <v>1500000.0</v>
      </c>
      <c r="I2" s="22">
        <v>37036</v>
      </c>
      <c r="J2" s="22">
        <v>1462964</v>
      </c>
      <c r="K2" s="22">
        <v>6781</v>
      </c>
      <c r="L2" s="22">
        <v>47948</v>
      </c>
      <c r="M2" s="33">
        <v>46231.0</v>
      </c>
      <c r="N2" s="19" t="s">
        <v>125</v>
      </c>
      <c r="O2" s="19" t="s">
        <v>126</v>
      </c>
      <c r="P2" s="19" t="s">
        <v>127</v>
      </c>
      <c r="Q2" s="19" t="s">
        <v>128</v>
      </c>
      <c r="R2" s="19"/>
      <c r="S2" s="19"/>
      <c r="T2" s="19"/>
      <c r="U2" s="33">
        <v>46076.4828125</v>
      </c>
      <c r="V2" s="19"/>
      <c r="W2" s="22">
        <v>20</v>
      </c>
      <c r="X2" s="33">
        <v>46132.99087963</v>
      </c>
      <c r="Y2" s="19"/>
    </row>
    <row r="3" spans="1:25">
      <c r="A3" s="19" t="s">
        <v>35</v>
      </c>
      <c r="B3" s="19" t="s">
        <v>129</v>
      </c>
      <c r="C3" s="33">
        <v>46098.0</v>
      </c>
      <c r="D3" s="33">
        <v>47924.0</v>
      </c>
      <c r="E3" s="34"/>
      <c r="F3" s="19" t="s">
        <v>43</v>
      </c>
      <c r="G3" s="21">
        <v>1000000.0</v>
      </c>
      <c r="H3" s="21">
        <v>1000000.0</v>
      </c>
      <c r="I3" s="22">
        <v>17173</v>
      </c>
      <c r="J3" s="22">
        <v>982827</v>
      </c>
      <c r="K3" s="22">
        <v>5036</v>
      </c>
      <c r="L3" s="22">
        <v>30271</v>
      </c>
      <c r="M3" s="33">
        <v>46221.0</v>
      </c>
      <c r="N3" s="19" t="s">
        <v>125</v>
      </c>
      <c r="O3" s="19" t="s">
        <v>126</v>
      </c>
      <c r="P3" s="19" t="s">
        <v>127</v>
      </c>
      <c r="Q3" s="19" t="s">
        <v>128</v>
      </c>
      <c r="R3" s="19"/>
      <c r="S3" s="19"/>
      <c r="T3" s="19"/>
      <c r="U3" s="33">
        <v>46094.564270833</v>
      </c>
      <c r="V3" s="19"/>
      <c r="W3" s="22">
        <v>30</v>
      </c>
      <c r="X3" s="33">
        <v>46206.000034722</v>
      </c>
      <c r="Y3" s="19"/>
    </row>
    <row r="4" spans="1:25">
      <c r="A4" s="19" t="s">
        <v>40</v>
      </c>
      <c r="B4" s="19" t="s">
        <v>130</v>
      </c>
      <c r="C4" s="33">
        <v>46105.0</v>
      </c>
      <c r="D4" s="33">
        <v>46836.0</v>
      </c>
      <c r="E4" s="34"/>
      <c r="F4" s="19" t="s">
        <v>43</v>
      </c>
      <c r="G4" s="21">
        <v>2000000.0</v>
      </c>
      <c r="H4" s="21">
        <v>2000000.0</v>
      </c>
      <c r="I4" s="22">
        <v>170317</v>
      </c>
      <c r="J4" s="22">
        <v>1829683</v>
      </c>
      <c r="K4" s="22">
        <v>38997</v>
      </c>
      <c r="L4" s="22">
        <v>60380</v>
      </c>
      <c r="M4" s="33">
        <v>46228.0</v>
      </c>
      <c r="N4" s="19" t="s">
        <v>125</v>
      </c>
      <c r="O4" s="19" t="s">
        <v>126</v>
      </c>
      <c r="P4" s="19" t="s">
        <v>127</v>
      </c>
      <c r="Q4" s="19" t="s">
        <v>128</v>
      </c>
      <c r="R4" s="19"/>
      <c r="S4" s="19"/>
      <c r="T4" s="19"/>
      <c r="U4" s="33">
        <v>46102.732708333</v>
      </c>
      <c r="V4" s="19"/>
      <c r="W4" s="22">
        <v>23</v>
      </c>
      <c r="X4" s="33">
        <v>46168.000034722</v>
      </c>
      <c r="Y4" s="19"/>
    </row>
    <row r="5" spans="1:25">
      <c r="A5" s="19" t="s">
        <v>45</v>
      </c>
      <c r="B5" s="19" t="s">
        <v>131</v>
      </c>
      <c r="C5" s="33">
        <v>46128.0</v>
      </c>
      <c r="D5" s="33">
        <v>47224.0</v>
      </c>
      <c r="E5" s="33">
        <v>46248.690046296</v>
      </c>
      <c r="F5" s="19" t="s">
        <v>43</v>
      </c>
      <c r="G5" s="21">
        <v>2500000.0</v>
      </c>
      <c r="H5" s="21">
        <v>2500000.0</v>
      </c>
      <c r="I5" s="22">
        <v>109342</v>
      </c>
      <c r="J5" s="22">
        <v>2390658</v>
      </c>
      <c r="K5" s="22">
        <v>0</v>
      </c>
      <c r="L5" s="22">
        <v>0</v>
      </c>
      <c r="M5" s="34"/>
      <c r="N5" s="19" t="s">
        <v>125</v>
      </c>
      <c r="O5" s="19" t="s">
        <v>132</v>
      </c>
      <c r="P5" s="19" t="s">
        <v>127</v>
      </c>
      <c r="Q5" s="19" t="s">
        <v>128</v>
      </c>
      <c r="R5" s="19"/>
      <c r="S5" s="19"/>
      <c r="T5" s="19"/>
      <c r="U5" s="33">
        <v>46126.817013889</v>
      </c>
      <c r="V5" s="19"/>
      <c r="W5" s="22">
        <v>0</v>
      </c>
      <c r="X5" s="34"/>
      <c r="Y5" s="19"/>
    </row>
    <row r="6" spans="1:25">
      <c r="A6" s="19" t="s">
        <v>50</v>
      </c>
      <c r="B6" s="19" t="s">
        <v>133</v>
      </c>
      <c r="C6" s="33">
        <v>46128.0</v>
      </c>
      <c r="D6" s="33">
        <v>46219.0</v>
      </c>
      <c r="E6" s="34"/>
      <c r="F6" s="19" t="s">
        <v>43</v>
      </c>
      <c r="G6" s="21">
        <v>158000.0</v>
      </c>
      <c r="H6" s="21">
        <v>158000.0</v>
      </c>
      <c r="I6" s="22">
        <v>0</v>
      </c>
      <c r="J6" s="22">
        <v>158000</v>
      </c>
      <c r="K6" s="22">
        <v>158000</v>
      </c>
      <c r="L6" s="22">
        <v>11029</v>
      </c>
      <c r="M6" s="33">
        <v>46161.0</v>
      </c>
      <c r="N6" s="19" t="s">
        <v>125</v>
      </c>
      <c r="O6" s="19" t="s">
        <v>134</v>
      </c>
      <c r="P6" s="19" t="s">
        <v>127</v>
      </c>
      <c r="Q6" s="19" t="s">
        <v>128</v>
      </c>
      <c r="R6" s="19"/>
      <c r="S6" s="19"/>
      <c r="T6" s="19"/>
      <c r="U6" s="33">
        <v>46128.531122685</v>
      </c>
      <c r="V6" s="19"/>
      <c r="W6" s="22">
        <v>90</v>
      </c>
      <c r="X6" s="33">
        <v>46163.000034722</v>
      </c>
      <c r="Y6" s="19"/>
    </row>
    <row r="7" spans="1:25">
      <c r="A7" s="19" t="s">
        <v>55</v>
      </c>
      <c r="B7" s="19" t="s">
        <v>135</v>
      </c>
      <c r="C7" s="33">
        <v>46129.0</v>
      </c>
      <c r="D7" s="33">
        <v>48043.0</v>
      </c>
      <c r="E7" s="34"/>
      <c r="F7" s="19" t="s">
        <v>43</v>
      </c>
      <c r="G7" s="21">
        <v>5000000.0</v>
      </c>
      <c r="H7" s="21">
        <v>2799656.39</v>
      </c>
      <c r="I7" s="22">
        <v>29656</v>
      </c>
      <c r="J7" s="22">
        <v>4970344</v>
      </c>
      <c r="K7" s="22">
        <v>13161</v>
      </c>
      <c r="L7" s="22">
        <v>92228</v>
      </c>
      <c r="M7" s="33">
        <v>46249.0</v>
      </c>
      <c r="N7" s="19" t="s">
        <v>125</v>
      </c>
      <c r="O7" s="19" t="s">
        <v>126</v>
      </c>
      <c r="P7" s="19" t="s">
        <v>127</v>
      </c>
      <c r="Q7" s="19" t="s">
        <v>128</v>
      </c>
      <c r="R7" s="19"/>
      <c r="S7" s="19"/>
      <c r="T7" s="19"/>
      <c r="U7" s="33">
        <v>46128.555833333</v>
      </c>
      <c r="V7" s="19"/>
      <c r="W7" s="22">
        <v>2</v>
      </c>
      <c r="X7" s="33">
        <v>46083.469166667</v>
      </c>
      <c r="Y7" s="19"/>
    </row>
    <row r="8" spans="1:25">
      <c r="A8" s="19" t="s">
        <v>50</v>
      </c>
      <c r="B8" s="19" t="s">
        <v>136</v>
      </c>
      <c r="C8" s="33">
        <v>46132.0</v>
      </c>
      <c r="D8" s="33">
        <v>46315.0</v>
      </c>
      <c r="E8" s="34"/>
      <c r="F8" s="19" t="s">
        <v>43</v>
      </c>
      <c r="G8" s="21">
        <v>277000.0</v>
      </c>
      <c r="H8" s="21">
        <v>277000.0</v>
      </c>
      <c r="I8" s="22">
        <v>0</v>
      </c>
      <c r="J8" s="22">
        <v>277000</v>
      </c>
      <c r="K8" s="22">
        <v>131624</v>
      </c>
      <c r="L8" s="22">
        <v>23540</v>
      </c>
      <c r="M8" s="33">
        <v>46163.0</v>
      </c>
      <c r="N8" s="19" t="s">
        <v>125</v>
      </c>
      <c r="O8" s="19" t="s">
        <v>134</v>
      </c>
      <c r="P8" s="19" t="s">
        <v>127</v>
      </c>
      <c r="Q8" s="19" t="s">
        <v>128</v>
      </c>
      <c r="R8" s="19"/>
      <c r="S8" s="19"/>
      <c r="T8" s="19"/>
      <c r="U8" s="33">
        <v>46132.608252315</v>
      </c>
      <c r="V8" s="19"/>
      <c r="W8" s="22">
        <v>88</v>
      </c>
      <c r="X8" s="33">
        <v>46163.000034722</v>
      </c>
      <c r="Y8" s="19"/>
    </row>
    <row r="9" spans="1:25">
      <c r="A9" s="19" t="s">
        <v>60</v>
      </c>
      <c r="B9" s="19" t="s">
        <v>137</v>
      </c>
      <c r="C9" s="33">
        <v>46140.0</v>
      </c>
      <c r="D9" s="33">
        <v>47966.0</v>
      </c>
      <c r="E9" s="34"/>
      <c r="F9" s="19" t="s">
        <v>43</v>
      </c>
      <c r="G9" s="21">
        <v>6000000.0</v>
      </c>
      <c r="H9" s="21">
        <v>6000000.0</v>
      </c>
      <c r="I9" s="22">
        <v>0</v>
      </c>
      <c r="J9" s="22">
        <v>6000000</v>
      </c>
      <c r="K9" s="22">
        <v>101545</v>
      </c>
      <c r="L9" s="22">
        <v>597778</v>
      </c>
      <c r="M9" s="33">
        <v>46172.0</v>
      </c>
      <c r="N9" s="19" t="s">
        <v>125</v>
      </c>
      <c r="O9" s="19" t="s">
        <v>126</v>
      </c>
      <c r="P9" s="19" t="s">
        <v>127</v>
      </c>
      <c r="Q9" s="19" t="s">
        <v>128</v>
      </c>
      <c r="R9" s="19"/>
      <c r="S9" s="19"/>
      <c r="T9" s="19"/>
      <c r="U9" s="33">
        <v>46139.669594907</v>
      </c>
      <c r="V9" s="19"/>
      <c r="W9" s="22">
        <v>79</v>
      </c>
      <c r="X9" s="33">
        <v>46172.000034722</v>
      </c>
      <c r="Y9" s="19"/>
    </row>
    <row r="10" spans="1:25">
      <c r="A10" s="19" t="s">
        <v>65</v>
      </c>
      <c r="B10" s="19" t="s">
        <v>138</v>
      </c>
      <c r="C10" s="33">
        <v>46143.0</v>
      </c>
      <c r="D10" s="33">
        <v>46328.0</v>
      </c>
      <c r="E10" s="34"/>
      <c r="F10" s="19" t="s">
        <v>43</v>
      </c>
      <c r="G10" s="21">
        <v>75000.0</v>
      </c>
      <c r="H10" s="21">
        <v>75000.0</v>
      </c>
      <c r="I10" s="22">
        <v>31212</v>
      </c>
      <c r="J10" s="22">
        <v>43788</v>
      </c>
      <c r="K10" s="22">
        <v>3905</v>
      </c>
      <c r="L10" s="22">
        <v>0</v>
      </c>
      <c r="M10" s="33">
        <v>46238.0</v>
      </c>
      <c r="N10" s="19" t="s">
        <v>125</v>
      </c>
      <c r="O10" s="19" t="s">
        <v>139</v>
      </c>
      <c r="P10" s="19" t="s">
        <v>127</v>
      </c>
      <c r="Q10" s="19" t="s">
        <v>128</v>
      </c>
      <c r="R10" s="19"/>
      <c r="S10" s="19"/>
      <c r="T10" s="19"/>
      <c r="U10" s="33">
        <v>46143.4284375</v>
      </c>
      <c r="V10" s="19"/>
      <c r="W10" s="22">
        <v>13</v>
      </c>
      <c r="X10" s="33">
        <v>46132.481875</v>
      </c>
      <c r="Y10" s="19"/>
    </row>
    <row r="11" spans="1:25">
      <c r="A11" s="19" t="s">
        <v>70</v>
      </c>
      <c r="B11" s="19" t="s">
        <v>140</v>
      </c>
      <c r="C11" s="33">
        <v>46196.0</v>
      </c>
      <c r="D11" s="33">
        <v>48022.0</v>
      </c>
      <c r="E11" s="34"/>
      <c r="F11" s="19" t="s">
        <v>43</v>
      </c>
      <c r="G11" s="21">
        <v>3000000.0</v>
      </c>
      <c r="H11" s="21">
        <v>3000000.0</v>
      </c>
      <c r="I11" s="22">
        <v>0</v>
      </c>
      <c r="J11" s="22">
        <v>3000000</v>
      </c>
      <c r="K11" s="22">
        <v>17554</v>
      </c>
      <c r="L11" s="22">
        <v>99000</v>
      </c>
      <c r="M11" s="33">
        <v>46227.0</v>
      </c>
      <c r="N11" s="19" t="s">
        <v>125</v>
      </c>
      <c r="O11" s="19" t="s">
        <v>126</v>
      </c>
      <c r="P11" s="19" t="s">
        <v>127</v>
      </c>
      <c r="Q11" s="19" t="s">
        <v>128</v>
      </c>
      <c r="R11" s="19"/>
      <c r="S11" s="19"/>
      <c r="T11" s="19"/>
      <c r="U11" s="33">
        <v>46192.605266204</v>
      </c>
      <c r="V11" s="19"/>
      <c r="W11" s="22">
        <v>24</v>
      </c>
      <c r="X11" s="33">
        <v>46227.000046296</v>
      </c>
      <c r="Y11" s="19"/>
    </row>
    <row r="12" spans="1:25">
      <c r="A12" s="19" t="s">
        <v>75</v>
      </c>
      <c r="B12" s="19" t="s">
        <v>141</v>
      </c>
      <c r="C12" s="33">
        <v>46204.0</v>
      </c>
      <c r="D12" s="33">
        <v>46569.0</v>
      </c>
      <c r="E12" s="34"/>
      <c r="F12" s="19" t="s">
        <v>43</v>
      </c>
      <c r="G12" s="21">
        <v>170000.0</v>
      </c>
      <c r="H12" s="21">
        <v>170000.0</v>
      </c>
      <c r="I12" s="22">
        <v>0</v>
      </c>
      <c r="J12" s="22">
        <v>170000</v>
      </c>
      <c r="K12" s="22">
        <v>11262</v>
      </c>
      <c r="L12" s="22">
        <v>6171</v>
      </c>
      <c r="M12" s="33">
        <v>46238.0</v>
      </c>
      <c r="N12" s="19" t="s">
        <v>125</v>
      </c>
      <c r="O12" s="19" t="s">
        <v>126</v>
      </c>
      <c r="P12" s="19" t="s">
        <v>127</v>
      </c>
      <c r="Q12" s="19" t="s">
        <v>128</v>
      </c>
      <c r="R12" s="19"/>
      <c r="S12" s="19"/>
      <c r="T12" s="19"/>
      <c r="U12" s="33">
        <v>46204.732673611</v>
      </c>
      <c r="V12" s="19"/>
      <c r="W12" s="22">
        <v>13</v>
      </c>
      <c r="X12" s="33">
        <v>46184.000034722</v>
      </c>
      <c r="Y12" s="19"/>
    </row>
    <row r="13" spans="1:25">
      <c r="A13" s="19" t="s">
        <v>80</v>
      </c>
      <c r="B13" s="19" t="s">
        <v>142</v>
      </c>
      <c r="C13" s="33">
        <v>46248.0</v>
      </c>
      <c r="D13" s="33">
        <v>46615.0</v>
      </c>
      <c r="E13" s="34"/>
      <c r="F13" s="19" t="s">
        <v>43</v>
      </c>
      <c r="G13" s="21">
        <v>61000.0</v>
      </c>
      <c r="H13" s="21">
        <v>61000.0</v>
      </c>
      <c r="I13" s="22">
        <v>0</v>
      </c>
      <c r="J13" s="22">
        <v>61000</v>
      </c>
      <c r="K13" s="22">
        <v>0</v>
      </c>
      <c r="L13" s="22">
        <v>0</v>
      </c>
      <c r="M13" s="34"/>
      <c r="N13" s="19" t="s">
        <v>125</v>
      </c>
      <c r="O13" s="19" t="s">
        <v>132</v>
      </c>
      <c r="P13" s="19" t="s">
        <v>127</v>
      </c>
      <c r="Q13" s="19" t="s">
        <v>128</v>
      </c>
      <c r="R13" s="19"/>
      <c r="S13" s="19"/>
      <c r="T13" s="19"/>
      <c r="U13" s="33">
        <v>46248.637800926</v>
      </c>
      <c r="V13" s="19"/>
      <c r="W13" s="22">
        <v>0</v>
      </c>
      <c r="X13" s="34"/>
      <c r="Y13" s="19"/>
    </row>
  </sheetData>
  <sheetProtection algorithmName="SHA-512" hashValue="4X5mnC0gE7ezGOlMwcejtcKJmcFda7vBW3V3wp+b53iDYaQRsfuHFemVn7U6zmB53ksk6C6V0RNPwniLvQ+Y5g==" saltValue="VLoSw/jMyn4BiHgO5hBiJQ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:E13"/>
    </sheetView>
  </sheetViews>
  <sheetFormatPr defaultRowHeight="14.4" outlineLevelRow="0" outlineLevelCol="0"/>
  <cols>
    <col min="1" max="1" width="27" customWidth="true" style="1"/>
    <col min="2" max="2" width="13.7109375" customWidth="true" style="3"/>
    <col min="3" max="3" width="13.42578125" customWidth="true" style="1"/>
    <col min="4" max="4" width="16.5703125" customWidth="true" style="1"/>
    <col min="5" max="5" width="8.7109375" customWidth="true" style="1"/>
  </cols>
  <sheetData>
    <row r="1" spans="1:5" s="8" customFormat="1">
      <c r="A1" s="14" t="s">
        <v>101</v>
      </c>
      <c r="B1" s="20" t="s">
        <v>143</v>
      </c>
      <c r="C1" s="14" t="s">
        <v>144</v>
      </c>
      <c r="D1" s="14" t="s">
        <v>145</v>
      </c>
      <c r="E1" s="16" t="s">
        <v>146</v>
      </c>
    </row>
    <row r="2" spans="1:5">
      <c r="A2" s="15" t="s">
        <v>124</v>
      </c>
      <c r="B2" s="25">
        <v>1500000.0</v>
      </c>
      <c r="C2" s="15" t="s">
        <v>125</v>
      </c>
      <c r="D2" s="15" t="s">
        <v>65</v>
      </c>
      <c r="E2" s="15"/>
    </row>
    <row r="3" spans="1:5">
      <c r="A3" s="15" t="s">
        <v>129</v>
      </c>
      <c r="B3" s="25">
        <v>1000000.0</v>
      </c>
      <c r="C3" s="15" t="s">
        <v>125</v>
      </c>
      <c r="D3" s="15" t="s">
        <v>65</v>
      </c>
      <c r="E3" s="15"/>
    </row>
    <row r="4" spans="1:5">
      <c r="A4" s="15" t="s">
        <v>130</v>
      </c>
      <c r="B4" s="25">
        <v>2000000.0</v>
      </c>
      <c r="C4" s="15" t="s">
        <v>125</v>
      </c>
      <c r="D4" s="15" t="s">
        <v>65</v>
      </c>
      <c r="E4" s="15"/>
    </row>
    <row r="5" spans="1:5">
      <c r="A5" s="15" t="s">
        <v>131</v>
      </c>
      <c r="B5" s="25">
        <v>6000000.0</v>
      </c>
      <c r="C5" s="15" t="s">
        <v>125</v>
      </c>
      <c r="D5" s="15" t="s">
        <v>65</v>
      </c>
      <c r="E5" s="15"/>
    </row>
    <row r="6" spans="1:5">
      <c r="A6" s="15" t="s">
        <v>133</v>
      </c>
      <c r="B6" s="25">
        <v>158000.0</v>
      </c>
      <c r="C6" s="15" t="s">
        <v>125</v>
      </c>
      <c r="D6" s="15" t="s">
        <v>132</v>
      </c>
      <c r="E6" s="15"/>
    </row>
    <row r="7" spans="1:5">
      <c r="A7" s="15" t="s">
        <v>135</v>
      </c>
      <c r="B7" s="25">
        <v>5000000.0</v>
      </c>
      <c r="C7" s="15" t="s">
        <v>125</v>
      </c>
      <c r="D7" s="15" t="s">
        <v>65</v>
      </c>
      <c r="E7" s="15"/>
    </row>
    <row r="8" spans="1:5">
      <c r="A8" s="15" t="s">
        <v>136</v>
      </c>
      <c r="B8" s="25">
        <v>277000.0</v>
      </c>
      <c r="C8" s="15" t="s">
        <v>125</v>
      </c>
      <c r="D8" s="15" t="s">
        <v>132</v>
      </c>
      <c r="E8" s="15"/>
    </row>
    <row r="9" spans="1:5">
      <c r="A9" s="15" t="s">
        <v>137</v>
      </c>
      <c r="B9" s="25">
        <v>20790000.0</v>
      </c>
      <c r="C9" s="15" t="s">
        <v>125</v>
      </c>
      <c r="D9" s="15" t="s">
        <v>147</v>
      </c>
      <c r="E9" s="15"/>
    </row>
    <row r="10" spans="1:5">
      <c r="A10" s="15" t="s">
        <v>138</v>
      </c>
      <c r="B10" s="25">
        <v>75000.0</v>
      </c>
      <c r="C10" s="15" t="s">
        <v>125</v>
      </c>
      <c r="D10" s="15" t="s">
        <v>132</v>
      </c>
      <c r="E10" s="15"/>
    </row>
    <row r="11" spans="1:5">
      <c r="A11" s="15" t="s">
        <v>140</v>
      </c>
      <c r="B11" s="25">
        <v>6000000.0</v>
      </c>
      <c r="C11" s="15" t="s">
        <v>125</v>
      </c>
      <c r="D11" s="15" t="s">
        <v>65</v>
      </c>
      <c r="E11" s="15"/>
    </row>
    <row r="12" spans="1:5">
      <c r="A12" s="15" t="s">
        <v>141</v>
      </c>
      <c r="B12" s="25">
        <v>170000.0</v>
      </c>
      <c r="C12" s="15" t="s">
        <v>125</v>
      </c>
      <c r="D12" s="15" t="s">
        <v>132</v>
      </c>
      <c r="E12" s="15"/>
    </row>
    <row r="13" spans="1:5">
      <c r="A13" s="15" t="s">
        <v>142</v>
      </c>
      <c r="B13" s="25">
        <v>61000.0</v>
      </c>
      <c r="C13" s="15" t="s">
        <v>125</v>
      </c>
      <c r="D13" s="15" t="s">
        <v>132</v>
      </c>
      <c r="E13" s="15"/>
    </row>
  </sheetData>
  <sheetProtection algorithmName="SHA-512" hashValue="23J5Nuc2Gm33cbuOWcboP21Ar18E8AkmHjmpRr0RtkEX9+uHP5XeH7z0O26Sm9dD16r2vhEbG7l21i2cSzMyIQ==" saltValue="/mcGb8GC+GpP6t29pf8DOw==" spinCount="100000" sheet="1" objects="1" scenarios="1"/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A1" sqref="A1:X2"/>
    </sheetView>
  </sheetViews>
  <sheetFormatPr defaultRowHeight="14.4" outlineLevelRow="0" outlineLevelCol="0"/>
  <cols>
    <col min="1" max="1" width="27" customWidth="true" style="1"/>
    <col min="2" max="2" width="34.28515625" customWidth="true" style="1"/>
    <col min="3" max="3" width="13.28515625" customWidth="true" style="1"/>
    <col min="4" max="4" width="15.28515625" customWidth="true" style="1"/>
    <col min="5" max="5" width="23.5703125" customWidth="true" style="1"/>
    <col min="6" max="6" width="10.5703125" customWidth="true" style="2"/>
    <col min="7" max="7" width="26.140625" customWidth="true" style="2"/>
    <col min="8" max="8" width="17.28515625" customWidth="true" style="1"/>
    <col min="9" max="9" width="10.85546875" customWidth="true" style="1"/>
    <col min="10" max="10" width="4.28515625" customWidth="true" style="1"/>
    <col min="11" max="11" width="5.140625" customWidth="true" style="1"/>
    <col min="12" max="12" width="8.28515625" customWidth="true" style="1"/>
    <col min="13" max="13" width="6.7109375" customWidth="true" style="1"/>
    <col min="14" max="14" width="15" customWidth="true" style="1"/>
    <col min="15" max="15" width="25.7109375" customWidth="true" style="1"/>
    <col min="16" max="16" width="27.42578125" customWidth="true" style="2"/>
    <col min="17" max="17" width="18.5703125" customWidth="true" style="1"/>
    <col min="18" max="18" width="26.140625" customWidth="true" style="1"/>
    <col min="19" max="19" width="15.140625" customWidth="true" style="3"/>
    <col min="20" max="20" width="30.42578125" customWidth="true" style="1"/>
    <col min="21" max="21" width="31.28515625" customWidth="true" style="1"/>
    <col min="22" max="22" width="40.5703125" customWidth="true" style="2"/>
    <col min="23" max="23" width="42.28515625" customWidth="true" style="1"/>
    <col min="24" max="24" width="9" customWidth="true" style="1"/>
  </cols>
  <sheetData>
    <row r="1" spans="1:24" s="8" customFormat="1">
      <c r="A1" s="14" t="s">
        <v>101</v>
      </c>
      <c r="B1" s="14" t="s">
        <v>148</v>
      </c>
      <c r="C1" s="14" t="s">
        <v>88</v>
      </c>
      <c r="D1" s="14" t="s">
        <v>89</v>
      </c>
      <c r="E1" s="14" t="s">
        <v>90</v>
      </c>
      <c r="F1" s="17" t="s">
        <v>91</v>
      </c>
      <c r="G1" s="17" t="s">
        <v>92</v>
      </c>
      <c r="H1" s="14" t="s">
        <v>93</v>
      </c>
      <c r="I1" s="14" t="s">
        <v>94</v>
      </c>
      <c r="J1" s="14" t="s">
        <v>95</v>
      </c>
      <c r="K1" s="14" t="s">
        <v>16</v>
      </c>
      <c r="L1" s="14" t="s">
        <v>96</v>
      </c>
      <c r="M1" s="14" t="s">
        <v>18</v>
      </c>
      <c r="N1" s="14" t="s">
        <v>97</v>
      </c>
      <c r="O1" s="14" t="s">
        <v>20</v>
      </c>
      <c r="P1" s="17" t="s">
        <v>98</v>
      </c>
      <c r="Q1" s="14" t="s">
        <v>99</v>
      </c>
      <c r="R1" s="14" t="s">
        <v>100</v>
      </c>
      <c r="S1" s="20" t="s">
        <v>149</v>
      </c>
      <c r="T1" s="14" t="s">
        <v>150</v>
      </c>
      <c r="U1" s="14" t="s">
        <v>24</v>
      </c>
      <c r="V1" s="17" t="s">
        <v>25</v>
      </c>
      <c r="W1" s="14" t="s">
        <v>26</v>
      </c>
      <c r="X1" s="14" t="s">
        <v>27</v>
      </c>
    </row>
    <row r="2" spans="1:24">
      <c r="A2" s="15" t="s">
        <v>137</v>
      </c>
      <c r="B2" s="15" t="s">
        <v>151</v>
      </c>
      <c r="C2" s="15" t="s">
        <v>152</v>
      </c>
      <c r="D2" s="15" t="s">
        <v>153</v>
      </c>
      <c r="E2" s="15" t="s">
        <v>154</v>
      </c>
      <c r="F2" s="18"/>
      <c r="G2" s="18"/>
      <c r="H2" s="15"/>
      <c r="I2" s="15"/>
      <c r="J2" s="15"/>
      <c r="K2" s="15" t="s">
        <v>34</v>
      </c>
      <c r="L2" s="15"/>
      <c r="M2" s="15"/>
      <c r="N2" s="15"/>
      <c r="O2" s="15"/>
      <c r="P2" s="18"/>
      <c r="Q2" s="15"/>
      <c r="R2" s="15"/>
      <c r="S2" s="25"/>
      <c r="T2" s="15" t="s">
        <v>125</v>
      </c>
      <c r="U2" s="15"/>
      <c r="V2" s="18"/>
      <c r="W2" s="15"/>
      <c r="X2" s="15"/>
    </row>
  </sheetData>
  <sheetProtection algorithmName="SHA-512" hashValue="oq4t5O28CfaETVUEdh7z1Th0vBB6dHT5HqiSy63A0+StAOK1iSUlproGvCDcAwIC0SY7yefHwf5+HqSCcBrg8w==" saltValue="6y5UEczgpv4+sr93WF/PpA==" spinCount="100000" sheet="1" objects="1" scenarios="1"/>
  <printOptions gridLines="false" gridLinesSet="true"/>
  <pageMargins left="0.75" right="0.75" top="1" bottom="1" header="0.5" footer="0.5"/>
  <pageSetup paperSize="1" orientation="portrait" scale="100" fitToHeight="1" fitToWidth="1" pageOrder="downThenOver" r:id="rId1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PackageInfo</vt:lpstr>
      <vt:lpstr>Debtor</vt:lpstr>
      <vt:lpstr>Interrelated</vt:lpstr>
      <vt:lpstr>Owner</vt:lpstr>
      <vt:lpstr>Credit</vt:lpstr>
      <vt:lpstr>Collateral</vt:lpstr>
      <vt:lpstr>Guarantor</vt:lpstr>
    </vt:vector>
  </TitlesOfParts>
  <Company>ACRA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</dc:creator>
  <cp:lastModifiedBy>grigorsahakyan01@gmail.com</cp:lastModifiedBy>
  <dcterms:created xsi:type="dcterms:W3CDTF">2006-09-25T10:44:30+05:00</dcterms:created>
  <dcterms:modified xsi:type="dcterms:W3CDTF">2026-04-08T09:36:38+04:00</dcterms:modified>
  <dc:title/>
  <dc:description/>
  <dc:subject/>
  <cp:keywords/>
  <cp:category/>
</cp:coreProperties>
</file>
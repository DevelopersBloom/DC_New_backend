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idays" sheetId="1" state="visible" r:id="rId1"/>
    <sheet name="Inputs" sheetId="2" state="visible" r:id="rId2"/>
    <sheet name="Schedule" sheetId="3" state="visible" r:id="rId3"/>
    <sheet name="Payments" sheetId="4" state="visible" r:id="rId4"/>
    <sheet name="Reconciliation" sheetId="5" state="visible" r:id="rId5"/>
  </sheets>
  <definedNames>
    <definedName name="ArmenianHolidays">Holidays!$A$2:$A$92</definedName>
    <definedName name="LoanAmount">Inputs!$B$4</definedName>
    <definedName name="AnnualRate">Inputs!$B$5</definedName>
    <definedName name="FeeRate">Inputs!$B$6</definedName>
    <definedName name="StartDate">Inputs!$B$8</definedName>
    <definedName name="FirstPayDate">Inputs!$B$9</definedName>
    <definedName name="Tenure">Inputs!$B$10</definedName>
    <definedName name="DayConvention">Inputs!$B$12</definedName>
    <definedName name="ExtraPayMode">Inputs!$B$13</definedName>
    <definedName name="MonthlyRate">Inputs!$B$16</definedName>
    <definedName name="EMI">Inputs!$B$17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0;(#,##0.000);-"/>
    <numFmt numFmtId="166" formatCode="0.00000%"/>
    <numFmt numFmtId="167" formatCode="0.00000000000%"/>
    <numFmt numFmtId="168" formatCode="0.000%"/>
    <numFmt numFmtId="169" formatCode="0;(0);-"/>
  </numFmts>
  <fonts count="14">
    <font>
      <name val="Calibri"/>
      <family val="2"/>
      <color theme="1"/>
      <sz val="11"/>
      <scheme val="minor"/>
    </font>
    <font>
      <name val="Arial"/>
      <b val="1"/>
    </font>
    <font>
      <name val="Arial"/>
      <color rgb="00000000"/>
    </font>
    <font>
      <name val="Arial"/>
      <b val="1"/>
      <color rgb="00FFFFFF"/>
      <sz val="14"/>
    </font>
    <font>
      <name val="Arial"/>
      <b val="1"/>
      <color rgb="00FFFFFF"/>
    </font>
    <font>
      <name val="Arial"/>
      <b val="1"/>
      <color rgb="001F3864"/>
    </font>
    <font>
      <name val="Arial"/>
      <color rgb="001F3864"/>
    </font>
    <font>
      <name val="Arial"/>
      <color rgb="000000FF"/>
    </font>
    <font>
      <name val="Arial"/>
      <i val="1"/>
      <color rgb="00666666"/>
    </font>
    <font>
      <name val="Arial"/>
      <i val="1"/>
      <color rgb="00666666"/>
      <sz val="8"/>
    </font>
    <font>
      <name val="Arial"/>
      <b val="1"/>
      <color rgb="00FFFFFF"/>
      <sz val="13"/>
    </font>
    <font>
      <name val="Arial"/>
      <color rgb="00008000"/>
    </font>
    <font>
      <name val="Arial"/>
      <b val="1"/>
      <color rgb="00FFFFFF"/>
      <sz val="11"/>
    </font>
    <font>
      <name val="Arial"/>
      <i val="1"/>
      <color rgb="00444444"/>
    </font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4472C4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pivotButton="0" quotePrefix="0" xfId="0"/>
    <xf numFmtId="164" fontId="2" fillId="0" borderId="1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2" borderId="1" pivotButton="0" quotePrefix="0" xfId="0"/>
    <xf numFmtId="0" fontId="6" fillId="0" borderId="1" applyAlignment="1" pivotButton="0" quotePrefix="0" xfId="0">
      <alignment horizontal="left" vertical="center"/>
    </xf>
    <xf numFmtId="165" fontId="7" fillId="5" borderId="1" applyAlignment="1" pivotButton="0" quotePrefix="0" xfId="0">
      <alignment horizontal="right"/>
    </xf>
    <xf numFmtId="0" fontId="8" fillId="0" borderId="1" pivotButton="0" quotePrefix="0" xfId="0"/>
    <xf numFmtId="166" fontId="7" fillId="5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1" fontId="7" fillId="5" borderId="1" applyAlignment="1" pivotButton="0" quotePrefix="0" xfId="0">
      <alignment horizontal="right"/>
    </xf>
    <xf numFmtId="0" fontId="7" fillId="5" borderId="1" pivotButton="0" quotePrefix="0" xfId="0"/>
    <xf numFmtId="167" fontId="2" fillId="6" borderId="1" applyAlignment="1" pivotButton="0" quotePrefix="0" xfId="0">
      <alignment horizontal="right"/>
    </xf>
    <xf numFmtId="0" fontId="9" fillId="0" borderId="1" pivotButton="0" quotePrefix="0" xfId="0"/>
    <xf numFmtId="165" fontId="2" fillId="6" borderId="1" applyAlignment="1" pivotButton="0" quotePrefix="0" xfId="0">
      <alignment horizontal="right"/>
    </xf>
    <xf numFmtId="168" fontId="2" fillId="6" borderId="1" applyAlignment="1" pivotButton="0" quotePrefix="0" xfId="0">
      <alignment horizontal="right"/>
    </xf>
    <xf numFmtId="0" fontId="10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/>
    </xf>
    <xf numFmtId="164" fontId="11" fillId="6" borderId="1" pivotButton="0" quotePrefix="0" xfId="0"/>
    <xf numFmtId="164" fontId="2" fillId="6" borderId="1" pivotButton="0" quotePrefix="0" xfId="0"/>
    <xf numFmtId="169" fontId="2" fillId="6" borderId="1" pivotButton="0" quotePrefix="0" xfId="0"/>
    <xf numFmtId="165" fontId="11" fillId="6" borderId="1" pivotButton="0" quotePrefix="0" xfId="0"/>
    <xf numFmtId="165" fontId="2" fillId="6" borderId="1" pivotButton="0" quotePrefix="0" xfId="0"/>
    <xf numFmtId="164" fontId="7" fillId="5" borderId="1" pivotButton="0" quotePrefix="0" xfId="0"/>
    <xf numFmtId="165" fontId="7" fillId="5" borderId="1" pivotButton="0" quotePrefix="0" xfId="0"/>
    <xf numFmtId="0" fontId="11" fillId="6" borderId="1" pivotButton="0" quotePrefix="0" xfId="0"/>
    <xf numFmtId="164" fontId="0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3" fillId="7" borderId="0" applyAlignment="1" pivotButton="0" quotePrefix="0" xfId="0">
      <alignment horizontal="center"/>
    </xf>
    <xf numFmtId="165" fontId="11" fillId="6" borderId="1" applyAlignment="1" pivotButton="0" quotePrefix="0" xfId="0">
      <alignment horizontal="right"/>
    </xf>
    <xf numFmtId="0" fontId="0" fillId="0" borderId="1" pivotButton="0" quotePrefix="0" xfId="0"/>
    <xf numFmtId="0" fontId="10" fillId="8" borderId="0" applyAlignment="1" pivotButton="0" quotePrefix="0" xfId="0">
      <alignment horizontal="center"/>
    </xf>
    <xf numFmtId="0" fontId="12" fillId="3" borderId="0" applyAlignment="1" pivotButton="0" quotePrefix="0" xfId="0">
      <alignment horizontal="left"/>
    </xf>
    <xf numFmtId="0" fontId="13" fillId="0" borderId="1" pivotButton="0" quotePrefix="0" xfId="0"/>
    <xf numFmtId="0" fontId="1" fillId="0" borderId="1" pivotButton="0" quotePrefix="0" xfId="0"/>
    <xf numFmtId="0" fontId="2" fillId="9" borderId="1" pivotButton="0" quotePrefix="0" xfId="0"/>
    <xf numFmtId="0" fontId="10" fillId="10" borderId="0" applyAlignment="1" pivotButton="0" quotePrefix="0" xfId="0">
      <alignment horizontal="center"/>
    </xf>
    <xf numFmtId="0" fontId="2" fillId="6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164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7" fillId="5" borderId="1" applyAlignment="1" pivotButton="0" quotePrefix="0" xfId="0">
      <alignment horizontal="right"/>
    </xf>
    <xf numFmtId="166" fontId="7" fillId="5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167" fontId="2" fillId="6" borderId="1" applyAlignment="1" pivotButton="0" quotePrefix="0" xfId="0">
      <alignment horizontal="right"/>
    </xf>
    <xf numFmtId="165" fontId="2" fillId="6" borderId="1" applyAlignment="1" pivotButton="0" quotePrefix="0" xfId="0">
      <alignment horizontal="right"/>
    </xf>
    <xf numFmtId="168" fontId="2" fillId="6" borderId="1" applyAlignment="1" pivotButton="0" quotePrefix="0" xfId="0">
      <alignment horizontal="right"/>
    </xf>
    <xf numFmtId="164" fontId="11" fillId="6" borderId="1" pivotButton="0" quotePrefix="0" xfId="0"/>
    <xf numFmtId="164" fontId="2" fillId="6" borderId="1" pivotButton="0" quotePrefix="0" xfId="0"/>
    <xf numFmtId="169" fontId="2" fillId="6" borderId="1" pivotButton="0" quotePrefix="0" xfId="0"/>
    <xf numFmtId="165" fontId="11" fillId="6" borderId="1" pivotButton="0" quotePrefix="0" xfId="0"/>
    <xf numFmtId="165" fontId="2" fillId="6" borderId="1" pivotButton="0" quotePrefix="0" xfId="0"/>
    <xf numFmtId="164" fontId="7" fillId="5" borderId="1" pivotButton="0" quotePrefix="0" xfId="0"/>
    <xf numFmtId="165" fontId="7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165" fontId="11" fillId="6" borderId="1" applyAlignment="1" pivotButton="0" quotePrefix="0" xfId="0">
      <alignment horizontal="right"/>
    </xf>
    <xf numFmtId="0" fontId="2" fillId="6" borderId="1" pivotButton="0" quotePrefix="0" xfId="0"/>
    <xf numFmtId="0" fontId="0" fillId="6" borderId="0" pivotButton="0" quotePrefix="0" xfId="0"/>
    <xf numFmtId="1" fontId="2" fillId="6" borderId="1" applyAlignment="1" pivotButton="0" quotePrefix="0" xfId="0">
      <alignment horizontal="center"/>
    </xf>
    <xf numFmtId="164" fontId="11" fillId="6" borderId="1" applyAlignment="1" pivotButton="0" quotePrefix="0" xfId="0">
      <alignment horizontal="right"/>
    </xf>
    <xf numFmtId="164" fontId="2" fillId="6" borderId="1" applyAlignment="1" pivotButton="0" quotePrefix="0" xfId="0">
      <alignment horizontal="right"/>
    </xf>
    <xf numFmtId="169" fontId="2" fillId="6" borderId="1" applyAlignment="1" pivotButton="0" quotePrefix="0" xfId="0">
      <alignment horizontal="right"/>
    </xf>
  </cellXfs>
  <cellStyles count="1">
    <cellStyle name="Normal" xfId="0" builtinId="0" hidden="0"/>
  </cellStyles>
  <dxfs count="5">
    <dxf>
      <font>
        <name val="Arial"/>
        <color rgb="009C0006"/>
      </font>
      <fill>
        <patternFill patternType="solid">
          <fgColor rgb="00FFC7CE"/>
        </patternFill>
      </fill>
    </dxf>
    <dxf>
      <font>
        <name val="Arial"/>
        <color rgb="009C6500"/>
      </font>
      <fill>
        <patternFill patternType="solid">
          <fgColor rgb="00FFEB9C"/>
        </patternFill>
      </fill>
    </dxf>
    <dxf>
      <font>
        <name val="Arial"/>
        <color rgb="00276221"/>
      </font>
      <fill>
        <patternFill patternType="solid">
          <fgColor rgb="00C6EFCE"/>
        </patternFill>
      </fill>
    </dxf>
    <dxf>
      <font>
        <name val="Arial"/>
        <b val="1"/>
        <color rgb="00276221"/>
      </font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Armenian Public Holidays</t>
        </is>
      </c>
    </row>
    <row r="2">
      <c r="A2" s="42" t="n">
        <v>45292</v>
      </c>
    </row>
    <row r="3">
      <c r="A3" s="42" t="n">
        <v>45293</v>
      </c>
    </row>
    <row r="4">
      <c r="A4" s="42" t="n">
        <v>45297</v>
      </c>
    </row>
    <row r="5">
      <c r="A5" s="42" t="n">
        <v>45318</v>
      </c>
    </row>
    <row r="6">
      <c r="A6" s="42" t="n">
        <v>45319</v>
      </c>
    </row>
    <row r="7">
      <c r="A7" s="42" t="n">
        <v>45359</v>
      </c>
    </row>
    <row r="8">
      <c r="A8" s="42" t="n">
        <v>45406</v>
      </c>
    </row>
    <row r="9">
      <c r="A9" s="42" t="n">
        <v>45413</v>
      </c>
    </row>
    <row r="10">
      <c r="A10" s="42" t="n">
        <v>45421</v>
      </c>
    </row>
    <row r="11">
      <c r="A11" s="42" t="n">
        <v>45440</v>
      </c>
    </row>
    <row r="12">
      <c r="A12" s="42" t="n">
        <v>45478</v>
      </c>
    </row>
    <row r="13">
      <c r="A13" s="42" t="n">
        <v>45556</v>
      </c>
    </row>
    <row r="14">
      <c r="A14" s="42" t="n">
        <v>45657</v>
      </c>
    </row>
    <row r="15">
      <c r="A15" s="42" t="n">
        <v>45658</v>
      </c>
    </row>
    <row r="16">
      <c r="A16" s="42" t="n">
        <v>45659</v>
      </c>
    </row>
    <row r="17">
      <c r="A17" s="42" t="n">
        <v>45663</v>
      </c>
    </row>
    <row r="18">
      <c r="A18" s="42" t="n">
        <v>45684</v>
      </c>
    </row>
    <row r="19">
      <c r="A19" s="42" t="n">
        <v>45685</v>
      </c>
    </row>
    <row r="20">
      <c r="A20" s="42" t="n">
        <v>45724</v>
      </c>
    </row>
    <row r="21">
      <c r="A21" s="42" t="n">
        <v>45771</v>
      </c>
    </row>
    <row r="22">
      <c r="A22" s="42" t="n">
        <v>45778</v>
      </c>
    </row>
    <row r="23">
      <c r="A23" s="42" t="n">
        <v>45786</v>
      </c>
    </row>
    <row r="24">
      <c r="A24" s="42" t="n">
        <v>45805</v>
      </c>
    </row>
    <row r="25">
      <c r="A25" s="42" t="n">
        <v>45843</v>
      </c>
    </row>
    <row r="26">
      <c r="A26" s="42" t="n">
        <v>45921</v>
      </c>
    </row>
    <row r="27">
      <c r="A27" s="42" t="n">
        <v>46022</v>
      </c>
    </row>
    <row r="28">
      <c r="A28" s="42" t="n">
        <v>46023</v>
      </c>
    </row>
    <row r="29">
      <c r="A29" s="42" t="n">
        <v>46024</v>
      </c>
    </row>
    <row r="30">
      <c r="A30" s="42" t="n">
        <v>46028</v>
      </c>
    </row>
    <row r="31">
      <c r="A31" s="42" t="n">
        <v>46049</v>
      </c>
    </row>
    <row r="32">
      <c r="A32" s="42" t="n">
        <v>46050</v>
      </c>
    </row>
    <row r="33">
      <c r="A33" s="42" t="n">
        <v>46089</v>
      </c>
    </row>
    <row r="34">
      <c r="A34" s="42" t="n">
        <v>46136</v>
      </c>
    </row>
    <row r="35">
      <c r="A35" s="42" t="n">
        <v>46143</v>
      </c>
    </row>
    <row r="36">
      <c r="A36" s="42" t="n">
        <v>46151</v>
      </c>
    </row>
    <row r="37">
      <c r="A37" s="42" t="n">
        <v>46170</v>
      </c>
    </row>
    <row r="38">
      <c r="A38" s="42" t="n">
        <v>46208</v>
      </c>
    </row>
    <row r="39">
      <c r="A39" s="42" t="n">
        <v>46286</v>
      </c>
    </row>
    <row r="40">
      <c r="A40" s="42" t="n">
        <v>46387</v>
      </c>
    </row>
    <row r="41">
      <c r="A41" s="42" t="n">
        <v>46388</v>
      </c>
    </row>
    <row r="42">
      <c r="A42" s="42" t="n">
        <v>46389</v>
      </c>
    </row>
    <row r="43">
      <c r="A43" s="42" t="n">
        <v>46393</v>
      </c>
    </row>
    <row r="44">
      <c r="A44" s="42" t="n">
        <v>46414</v>
      </c>
    </row>
    <row r="45">
      <c r="A45" s="42" t="n">
        <v>46415</v>
      </c>
    </row>
    <row r="46">
      <c r="A46" s="42" t="n">
        <v>46454</v>
      </c>
    </row>
    <row r="47">
      <c r="A47" s="42" t="n">
        <v>46501</v>
      </c>
    </row>
    <row r="48">
      <c r="A48" s="42" t="n">
        <v>46508</v>
      </c>
    </row>
    <row r="49">
      <c r="A49" s="42" t="n">
        <v>46516</v>
      </c>
    </row>
    <row r="50">
      <c r="A50" s="42" t="n">
        <v>46535</v>
      </c>
    </row>
    <row r="51">
      <c r="A51" s="42" t="n">
        <v>46573</v>
      </c>
    </row>
    <row r="52">
      <c r="A52" s="42" t="n">
        <v>46651</v>
      </c>
    </row>
    <row r="53">
      <c r="A53" s="42" t="n">
        <v>46752</v>
      </c>
    </row>
    <row r="54">
      <c r="A54" s="42" t="n">
        <v>46753</v>
      </c>
    </row>
    <row r="55">
      <c r="A55" s="42" t="n">
        <v>46754</v>
      </c>
    </row>
    <row r="56">
      <c r="A56" s="42" t="n">
        <v>46758</v>
      </c>
    </row>
    <row r="57">
      <c r="A57" s="42" t="n">
        <v>46779</v>
      </c>
    </row>
    <row r="58">
      <c r="A58" s="42" t="n">
        <v>46780</v>
      </c>
    </row>
    <row r="59">
      <c r="A59" s="42" t="n">
        <v>46820</v>
      </c>
    </row>
    <row r="60">
      <c r="A60" s="42" t="n">
        <v>46867</v>
      </c>
    </row>
    <row r="61">
      <c r="A61" s="42" t="n">
        <v>46874</v>
      </c>
    </row>
    <row r="62">
      <c r="A62" s="42" t="n">
        <v>46882</v>
      </c>
    </row>
    <row r="63">
      <c r="A63" s="42" t="n">
        <v>46901</v>
      </c>
    </row>
    <row r="64">
      <c r="A64" s="42" t="n">
        <v>46939</v>
      </c>
    </row>
    <row r="65">
      <c r="A65" s="42" t="n">
        <v>47017</v>
      </c>
    </row>
    <row r="66">
      <c r="A66" s="42" t="n">
        <v>47118</v>
      </c>
    </row>
    <row r="67">
      <c r="A67" s="42" t="n">
        <v>47119</v>
      </c>
    </row>
    <row r="68">
      <c r="A68" s="42" t="n">
        <v>47120</v>
      </c>
    </row>
    <row r="69">
      <c r="A69" s="42" t="n">
        <v>47124</v>
      </c>
    </row>
    <row r="70">
      <c r="A70" s="42" t="n">
        <v>47145</v>
      </c>
    </row>
    <row r="71">
      <c r="A71" s="42" t="n">
        <v>47146</v>
      </c>
    </row>
    <row r="72">
      <c r="A72" s="42" t="n">
        <v>47185</v>
      </c>
    </row>
    <row r="73">
      <c r="A73" s="42" t="n">
        <v>47232</v>
      </c>
    </row>
    <row r="74">
      <c r="A74" s="42" t="n">
        <v>47239</v>
      </c>
    </row>
    <row r="75">
      <c r="A75" s="42" t="n">
        <v>47247</v>
      </c>
    </row>
    <row r="76">
      <c r="A76" s="42" t="n">
        <v>47266</v>
      </c>
    </row>
    <row r="77">
      <c r="A77" s="42" t="n">
        <v>47304</v>
      </c>
    </row>
    <row r="78">
      <c r="A78" s="42" t="n">
        <v>47382</v>
      </c>
    </row>
    <row r="79">
      <c r="A79" s="42" t="n">
        <v>47483</v>
      </c>
    </row>
    <row r="80">
      <c r="A80" s="42" t="n">
        <v>47484</v>
      </c>
    </row>
    <row r="81">
      <c r="A81" s="42" t="n">
        <v>47485</v>
      </c>
    </row>
    <row r="82">
      <c r="A82" s="42" t="n">
        <v>47489</v>
      </c>
    </row>
    <row r="83">
      <c r="A83" s="42" t="n">
        <v>47510</v>
      </c>
    </row>
    <row r="84">
      <c r="A84" s="42" t="n">
        <v>47511</v>
      </c>
    </row>
    <row r="85">
      <c r="A85" s="42" t="n">
        <v>47550</v>
      </c>
    </row>
    <row r="86">
      <c r="A86" s="42" t="n">
        <v>47597</v>
      </c>
    </row>
    <row r="87">
      <c r="A87" s="42" t="n">
        <v>47604</v>
      </c>
    </row>
    <row r="88">
      <c r="A88" s="42" t="n">
        <v>47612</v>
      </c>
    </row>
    <row r="89">
      <c r="A89" s="42" t="n">
        <v>47631</v>
      </c>
    </row>
    <row r="90">
      <c r="A90" s="42" t="n">
        <v>47669</v>
      </c>
    </row>
    <row r="91">
      <c r="A91" s="42" t="n">
        <v>47747</v>
      </c>
    </row>
    <row r="92">
      <c r="A92" s="42" t="n">
        <v>47848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52" customWidth="1" min="3" max="3"/>
  </cols>
  <sheetData>
    <row r="1" ht="28" customHeight="1">
      <c r="A1" s="3" t="inlineStr">
        <is>
          <t>DC LOAN CALCULATOR — Amortized Schedule</t>
        </is>
      </c>
    </row>
    <row r="2">
      <c r="A2" s="4" t="inlineStr">
        <is>
          <t>Parameter</t>
        </is>
      </c>
      <c r="B2" s="4" t="inlineStr">
        <is>
          <t>Value</t>
        </is>
      </c>
      <c r="C2" s="4" t="inlineStr">
        <is>
          <t>Units / Notes</t>
        </is>
      </c>
    </row>
    <row r="3">
      <c r="A3" s="5" t="inlineStr">
        <is>
          <t>LOAN PARAMETERS</t>
        </is>
      </c>
      <c r="B3" s="43" t="n"/>
      <c r="C3" s="44" t="n"/>
    </row>
    <row r="4">
      <c r="A4" s="6" t="inlineStr">
        <is>
          <t>Loan Amount</t>
        </is>
      </c>
      <c r="B4" s="45" t="n">
        <v>1500000</v>
      </c>
      <c r="C4" s="8" t="inlineStr">
        <is>
          <t>AMD</t>
        </is>
      </c>
    </row>
    <row r="5">
      <c r="A5" s="6" t="inlineStr">
        <is>
          <t>Annual Interest Rate</t>
        </is>
      </c>
      <c r="B5" s="46" t="n">
        <v>0.11</v>
      </c>
      <c r="C5" s="8" t="inlineStr">
        <is>
          <t>Daily % stored in DB (0.11 = 0.11%/day = 40.15%/yr) — e.g. contract 28 = 0.11</t>
        </is>
      </c>
    </row>
    <row r="6">
      <c r="A6" s="6" t="inlineStr">
        <is>
          <t>Annual Fee Rate</t>
        </is>
      </c>
      <c r="B6" s="46" t="n">
        <v>0</v>
      </c>
      <c r="C6" s="8" t="inlineStr">
        <is>
          <t>Decimal (0.02 = 2%)</t>
        </is>
      </c>
    </row>
    <row r="7">
      <c r="A7" s="6" t="n"/>
      <c r="B7" s="46" t="n"/>
      <c r="C7" s="8" t="n"/>
    </row>
    <row r="8">
      <c r="A8" s="6" t="inlineStr">
        <is>
          <t>Loan Start Date</t>
        </is>
      </c>
      <c r="B8" s="47" t="n">
        <v>46091</v>
      </c>
      <c r="C8" s="8" t="inlineStr">
        <is>
          <t>YYYY-MM-DD</t>
        </is>
      </c>
    </row>
    <row r="9">
      <c r="A9" s="6" t="inlineStr">
        <is>
          <t>First Payment Date</t>
        </is>
      </c>
      <c r="B9" s="47" t="n">
        <v>46122</v>
      </c>
      <c r="C9" s="8" t="inlineStr">
        <is>
          <t>YYYY-MM-DD</t>
        </is>
      </c>
    </row>
    <row r="10">
      <c r="A10" s="6" t="inlineStr">
        <is>
          <t>Tenure (months)</t>
        </is>
      </c>
      <c r="B10" s="11" t="n">
        <v>60</v>
      </c>
      <c r="C10" s="8" t="inlineStr">
        <is>
          <t>months</t>
        </is>
      </c>
    </row>
    <row r="11">
      <c r="A11" s="5" t="inlineStr">
        <is>
          <t>CONFIGURATION</t>
        </is>
      </c>
      <c r="B11" s="43" t="n"/>
      <c r="C11" s="44" t="n"/>
    </row>
    <row r="12">
      <c r="A12" s="6" t="inlineStr">
        <is>
          <t>Day Count Convention</t>
        </is>
      </c>
      <c r="B12" s="12" t="inlineStr">
        <is>
          <t>Actual</t>
        </is>
      </c>
      <c r="C12" s="6" t="inlineStr">
        <is>
          <t>dropdown</t>
        </is>
      </c>
    </row>
    <row r="13">
      <c r="A13" s="6" t="inlineStr">
        <is>
          <t>Extra Payment Mode</t>
        </is>
      </c>
      <c r="B13" s="12" t="inlineStr">
        <is>
          <t>Reduce Tenure</t>
        </is>
      </c>
      <c r="C13" s="6" t="inlineStr">
        <is>
          <t>dropdown</t>
        </is>
      </c>
    </row>
    <row r="15">
      <c r="A15" s="5" t="inlineStr">
        <is>
          <t>DERIVED CALCULATIONS  (formulas — do not edit)</t>
        </is>
      </c>
      <c r="B15" s="43" t="n"/>
      <c r="C15" s="44" t="n"/>
    </row>
    <row r="16">
      <c r="A16" s="6" t="inlineStr">
        <is>
          <t>Combined Monthly Rate</t>
        </is>
      </c>
      <c r="B16" s="48">
        <f>B5*365/100/12+B6/100/12</f>
        <v/>
      </c>
      <c r="C16" s="14" t="inlineStr">
        <is>
          <t>Source: ContractService.php L466-467 — interestAnnualPercent = rate*365 → monthlyRate = annualPercent/100/12  (rate stored as daily-%, so *365 gives annual-%, /100 gives decimal, /12 gives monthly)</t>
        </is>
      </c>
    </row>
    <row r="17">
      <c r="A17" s="6" t="inlineStr">
        <is>
          <t>Monthly Payment (EMI)</t>
        </is>
      </c>
      <c r="B17" s="49">
        <f>-PMT(B16,B10,B4)</f>
        <v/>
      </c>
      <c r="C17" s="14" t="inlineStr">
        <is>
          <t>Source: ContractService.php L474 — -excelPmt(allMonthlyRate, months, loanAmount)</t>
        </is>
      </c>
    </row>
    <row r="18">
      <c r="A18" s="6" t="inlineStr">
        <is>
          <t>Total Scheduled Payments</t>
        </is>
      </c>
      <c r="B18" s="49">
        <f>B17*B10</f>
        <v/>
      </c>
      <c r="C18" s="14" t="inlineStr">
        <is>
          <t>Sum of all EMIs</t>
        </is>
      </c>
    </row>
    <row r="19">
      <c r="A19" s="6" t="inlineStr">
        <is>
          <t>Total Interest + Fee Cost</t>
        </is>
      </c>
      <c r="B19" s="49">
        <f>B18-B4</f>
        <v/>
      </c>
      <c r="C19" s="14" t="inlineStr">
        <is>
          <t>Total cost of credit</t>
        </is>
      </c>
    </row>
    <row r="20">
      <c r="A20" s="6" t="inlineStr">
        <is>
          <t>Effective Annual Rate (approx)</t>
        </is>
      </c>
      <c r="B20" s="50">
        <f>(1+B16)^12-1</f>
        <v/>
      </c>
      <c r="C20" s="14" t="inlineStr">
        <is>
          <t>Approximate — backend uses XIRR; see EffectiveRateService.php</t>
        </is>
      </c>
    </row>
  </sheetData>
  <mergeCells count="4">
    <mergeCell ref="A15:C15"/>
    <mergeCell ref="A3:C3"/>
    <mergeCell ref="A1:F1"/>
    <mergeCell ref="A11:C11"/>
  </mergeCells>
  <dataValidations count="2">
    <dataValidation sqref="B12" showDropDown="0" showInputMessage="0" showErrorMessage="0" allowBlank="0" type="list">
      <formula1>"Actual,360"</formula1>
    </dataValidation>
    <dataValidation sqref="B13" showDropDown="0" showInputMessage="0" showErrorMessage="0" allowBlank="0" type="list">
      <formula1>"Reduce Tenure,Reduce Installment"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S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8" customWidth="1" min="4" max="4"/>
    <col width="16" customWidth="1" min="5" max="5"/>
    <col width="16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  <col width="12" customWidth="1" min="16" max="16"/>
    <col width="12" customWidth="1" min="17" max="17"/>
  </cols>
  <sheetData>
    <row r="1" ht="26" customHeight="1">
      <c r="A1" s="17" t="inlineStr">
        <is>
          <t>AMORTIZATION SCHEDULE — DC_New_backend logic</t>
        </is>
      </c>
    </row>
    <row r="2" ht="34" customHeight="1">
      <c r="A2" s="18" t="inlineStr">
        <is>
          <t>#</t>
        </is>
      </c>
      <c r="B2" s="18" t="inlineStr">
        <is>
          <t>Period
Start</t>
        </is>
      </c>
      <c r="C2" s="18" t="inlineStr">
        <is>
          <t>Due Date
(adj.)</t>
        </is>
      </c>
      <c r="D2" s="18" t="inlineStr">
        <is>
          <t>Days</t>
        </is>
      </c>
      <c r="E2" s="18" t="inlineStr">
        <is>
          <t>Opening
Balance</t>
        </is>
      </c>
      <c r="F2" s="18" t="inlineStr">
        <is>
          <t>Accrued
Interest</t>
        </is>
      </c>
      <c r="G2" s="18" t="inlineStr">
        <is>
          <t>Principal
Due</t>
        </is>
      </c>
      <c r="H2" s="18" t="inlineStr">
        <is>
          <t>Payment
Received</t>
        </is>
      </c>
      <c r="I2" s="18" t="inlineStr">
        <is>
          <t>Payment
Date</t>
        </is>
      </c>
      <c r="J2" s="18" t="inlineStr">
        <is>
          <t>Interest
Paid</t>
        </is>
      </c>
      <c r="K2" s="18" t="inlineStr">
        <is>
          <t>Principal
Paid</t>
        </is>
      </c>
      <c r="L2" s="18" t="inlineStr">
        <is>
          <t>Unpaid
Carried</t>
        </is>
      </c>
      <c r="M2" s="18" t="inlineStr">
        <is>
          <t>Closing
Balance</t>
        </is>
      </c>
      <c r="N2" s="18" t="inlineStr">
        <is>
          <t>Status</t>
        </is>
      </c>
      <c r="O2" s="61" t="n"/>
      <c r="P2" s="61" t="n"/>
      <c r="Q2" s="61" t="n"/>
      <c r="R2" s="62" t="n"/>
      <c r="S2" s="62" t="n"/>
    </row>
    <row r="3">
      <c r="A3" s="63">
        <f>IF(1&lt;=Tenure,1,"")</f>
        <v/>
      </c>
      <c r="B3" s="64">
        <f>IF(1&lt;=Tenure,StartDate,"")</f>
        <v/>
      </c>
      <c r="C3" s="65">
        <f>IF(1&lt;=Tenure,WORKDAY.INTL(EDATE(FirstPayDate,0)-1,1,1,ArmenianHolidays),"")</f>
        <v/>
      </c>
      <c r="D3" s="66">
        <f>IF(1&lt;=Tenure,IF(1=Tenure,C3-StartDate+1,C3-StartDate),"")</f>
        <v/>
      </c>
      <c r="E3" s="60">
        <f>IF(1&lt;=Tenure,LoanAmount,"")</f>
        <v/>
      </c>
      <c r="F3" s="49">
        <f>IF(1&lt;=Tenure,E3*D3*(AnnualRate/100),"")</f>
        <v/>
      </c>
      <c r="G3" s="49">
        <f>IF(1&lt;=Tenure,IF(1=Tenure,E3,EMI-F3),"")</f>
        <v/>
      </c>
      <c r="H3" s="60">
        <f>IF(1&lt;=Tenure,IFERROR(SUMIFS(Payments!$C:$C,Payments!$B:$B,A3),0),"")</f>
        <v/>
      </c>
      <c r="I3" s="64">
        <f>IF(1&lt;=Tenure,IFERROR(AGGREGATE(15,6,Payments!$A$3:$A$200/(Payments!$B$3:$B$200=A3),1),""),"")</f>
        <v/>
      </c>
      <c r="J3" s="49">
        <f>IF(1&lt;=Tenure,IF(H3=0,0,IF(AND(I3&lt;&gt;"",I3&lt;&gt;0,I3&lt;C3),MIN(F3,MAX(0,H3-K3)-IFERROR(MIN(MAX(0,(MAX(0,H3-K3)-F3)/(1-MAX(0,C3-I3)*(AnnualRate/100))),E3,MAX(0,H3-K3)),0)),MIN(F3,MAX(0,H3-K3)))),"")</f>
        <v/>
      </c>
      <c r="K3" s="60">
        <f>IF(1&lt;=Tenure,IF(H3=0,0,MIN(E3,MAX(0,MAX(0,H3-K3)-L3))),"")</f>
        <v/>
      </c>
      <c r="L3" s="49">
        <f>IF(1&lt;=Tenure,MAX(0,F3+G3+J3-K3-L3-M3),"")</f>
        <v/>
      </c>
      <c r="M3" s="49">
        <f>IF(1&lt;=Tenure,IF(1=Tenure,0,MAX(0,E3-M3)),"")</f>
        <v/>
      </c>
      <c r="N3" s="19">
        <f>IF(1&gt;Tenure,"",IF(AND(H3&gt;0,H3&gt;=F3+G3+J3),"Paid",IF(AND(H3&gt;0,H3&lt;F3+G3),"Partial",IF(AND(H3=0,TODAY()&gt;C3),"Overdue","Pending"))))</f>
        <v/>
      </c>
      <c r="O3" s="61" t="n"/>
      <c r="P3" s="61" t="n"/>
      <c r="Q3" s="61" t="n"/>
      <c r="R3" s="62" t="n"/>
      <c r="S3" s="62" t="n"/>
    </row>
    <row r="4">
      <c r="A4" s="63">
        <f>IF(2&lt;=Tenure,2,"")</f>
        <v/>
      </c>
      <c r="B4" s="64">
        <f>IF(2&lt;=Tenure,C3,"")</f>
        <v/>
      </c>
      <c r="C4" s="65">
        <f>IF(2&lt;=Tenure,WORKDAY.INTL(EDATE(FirstPayDate,1)-1,1,1,ArmenianHolidays),"")</f>
        <v/>
      </c>
      <c r="D4" s="66">
        <f>IF(2&lt;=Tenure,IF(2=Tenure,C4-C3+1,C4-C3),"")</f>
        <v/>
      </c>
      <c r="E4" s="60">
        <f>IF(2&lt;=Tenure,O3,"")</f>
        <v/>
      </c>
      <c r="F4" s="49">
        <f>IF(2&lt;=Tenure,E4*D4*(AnnualRate/100),"")</f>
        <v/>
      </c>
      <c r="G4" s="49">
        <f>IF(2&lt;=Tenure,IF(2=Tenure,E4,EMI-F4),"")</f>
        <v/>
      </c>
      <c r="H4" s="60">
        <f>IF(2&lt;=Tenure,IFERROR(SUMIFS(Payments!$C:$C,Payments!$B:$B,A4),0),"")</f>
        <v/>
      </c>
      <c r="I4" s="64">
        <f>IF(2&lt;=Tenure,IFERROR(AGGREGATE(15,6,Payments!$A$3:$A$200/(Payments!$B$3:$B$200=A4),1),""),"")</f>
        <v/>
      </c>
      <c r="J4" s="49">
        <f>IF(2&lt;=Tenure,IF(H4=0,0,IF(AND(I4&lt;&gt;"",I4&lt;&gt;0,I4&lt;C4),MIN(F4,MAX(0,H4-K4)-IFERROR(MIN(MAX(0,(MAX(0,H4-K4)-F4)/(1-MAX(0,C4-I4)*(AnnualRate/100))),E4,MAX(0,H4-K4)),0)),MIN(F4,MAX(0,H4-K4)))),"")</f>
        <v/>
      </c>
      <c r="K4" s="60">
        <f>IF(2&lt;=Tenure,IF(H4=0,0,MIN(E4,MAX(0,MAX(0,H4-K4)-L4))),"")</f>
        <v/>
      </c>
      <c r="L4" s="49">
        <f>IF(2&lt;=Tenure,MAX(0,F4+G4+J4-K4-L4-M4),"")</f>
        <v/>
      </c>
      <c r="M4" s="49">
        <f>IF(2&lt;=Tenure,IF(2=Tenure,0,MAX(0,E4-M4)),"")</f>
        <v/>
      </c>
      <c r="N4" s="19">
        <f>IF(2&gt;Tenure,"",IF(AND(H4&gt;0,H4&gt;=F4+G4+J4),"Paid",IF(AND(H4&gt;0,H4&lt;F4+G4),"Partial",IF(AND(H4=0,TODAY()&gt;C4),"Overdue","Pending"))))</f>
        <v/>
      </c>
      <c r="O4" s="61" t="n"/>
      <c r="P4" s="61" t="n"/>
      <c r="Q4" s="61" t="n"/>
      <c r="R4" s="62" t="n"/>
      <c r="S4" s="62" t="n"/>
    </row>
    <row r="5">
      <c r="A5" s="63">
        <f>IF(3&lt;=Tenure,3,"")</f>
        <v/>
      </c>
      <c r="B5" s="64">
        <f>IF(3&lt;=Tenure,C4,"")</f>
        <v/>
      </c>
      <c r="C5" s="65">
        <f>IF(3&lt;=Tenure,WORKDAY.INTL(EDATE(FirstPayDate,2)-1,1,1,ArmenianHolidays),"")</f>
        <v/>
      </c>
      <c r="D5" s="66">
        <f>IF(3&lt;=Tenure,IF(3=Tenure,C5-C4+1,C5-C4),"")</f>
        <v/>
      </c>
      <c r="E5" s="60">
        <f>IF(3&lt;=Tenure,O4,"")</f>
        <v/>
      </c>
      <c r="F5" s="49">
        <f>IF(3&lt;=Tenure,E5*D5*(AnnualRate/100),"")</f>
        <v/>
      </c>
      <c r="G5" s="49">
        <f>IF(3&lt;=Tenure,IF(3=Tenure,E5,EMI-F5),"")</f>
        <v/>
      </c>
      <c r="H5" s="60">
        <f>IF(3&lt;=Tenure,IFERROR(SUMIFS(Payments!$C:$C,Payments!$B:$B,A5),0),"")</f>
        <v/>
      </c>
      <c r="I5" s="64">
        <f>IF(3&lt;=Tenure,IFERROR(AGGREGATE(15,6,Payments!$A$3:$A$200/(Payments!$B$3:$B$200=A5),1),""),"")</f>
        <v/>
      </c>
      <c r="J5" s="49">
        <f>IF(3&lt;=Tenure,IF(H5=0,0,IF(AND(I5&lt;&gt;"",I5&lt;&gt;0,I5&lt;C5),MIN(F5,MAX(0,H5-K5)-IFERROR(MIN(MAX(0,(MAX(0,H5-K5)-F5)/(1-MAX(0,C5-I5)*(AnnualRate/100))),E5,MAX(0,H5-K5)),0)),MIN(F5,MAX(0,H5-K5)))),"")</f>
        <v/>
      </c>
      <c r="K5" s="60">
        <f>IF(3&lt;=Tenure,IF(H5=0,0,MIN(E5,MAX(0,MAX(0,H5-K5)-L5))),"")</f>
        <v/>
      </c>
      <c r="L5" s="49">
        <f>IF(3&lt;=Tenure,MAX(0,F5+G5+J5-K5-L5-M5),"")</f>
        <v/>
      </c>
      <c r="M5" s="49">
        <f>IF(3&lt;=Tenure,IF(3=Tenure,0,MAX(0,E5-M5)),"")</f>
        <v/>
      </c>
      <c r="N5" s="19">
        <f>IF(3&gt;Tenure,"",IF(AND(H5&gt;0,H5&gt;=F5+G5+J5),"Paid",IF(AND(H5&gt;0,H5&lt;F5+G5),"Partial",IF(AND(H5=0,TODAY()&gt;C5),"Overdue","Pending"))))</f>
        <v/>
      </c>
      <c r="O5" s="61" t="n"/>
      <c r="P5" s="61" t="n"/>
      <c r="Q5" s="61" t="n"/>
      <c r="R5" s="62" t="n"/>
      <c r="S5" s="62" t="n"/>
    </row>
    <row r="6">
      <c r="A6" s="63">
        <f>IF(4&lt;=Tenure,4,"")</f>
        <v/>
      </c>
      <c r="B6" s="64">
        <f>IF(4&lt;=Tenure,C5,"")</f>
        <v/>
      </c>
      <c r="C6" s="65">
        <f>IF(4&lt;=Tenure,WORKDAY.INTL(EDATE(FirstPayDate,3)-1,1,1,ArmenianHolidays),"")</f>
        <v/>
      </c>
      <c r="D6" s="66">
        <f>IF(4&lt;=Tenure,IF(4=Tenure,C6-C5+1,C6-C5),"")</f>
        <v/>
      </c>
      <c r="E6" s="60">
        <f>IF(4&lt;=Tenure,O5,"")</f>
        <v/>
      </c>
      <c r="F6" s="49">
        <f>IF(4&lt;=Tenure,E6*D6*(AnnualRate/100),"")</f>
        <v/>
      </c>
      <c r="G6" s="49">
        <f>IF(4&lt;=Tenure,IF(4=Tenure,E6,EMI-F6),"")</f>
        <v/>
      </c>
      <c r="H6" s="60">
        <f>IF(4&lt;=Tenure,IFERROR(SUMIFS(Payments!$C:$C,Payments!$B:$B,A6),0),"")</f>
        <v/>
      </c>
      <c r="I6" s="64">
        <f>IF(4&lt;=Tenure,IFERROR(AGGREGATE(15,6,Payments!$A$3:$A$200/(Payments!$B$3:$B$200=A6),1),""),"")</f>
        <v/>
      </c>
      <c r="J6" s="49">
        <f>IF(4&lt;=Tenure,IF(H6=0,0,IF(AND(I6&lt;&gt;"",I6&lt;&gt;0,I6&lt;C6),MIN(F6,MAX(0,H6-K6)-IFERROR(MIN(MAX(0,(MAX(0,H6-K6)-F6)/(1-MAX(0,C6-I6)*(AnnualRate/100))),E6,MAX(0,H6-K6)),0)),MIN(F6,MAX(0,H6-K6)))),"")</f>
        <v/>
      </c>
      <c r="K6" s="60">
        <f>IF(4&lt;=Tenure,IF(H6=0,0,MIN(E6,MAX(0,MAX(0,H6-K6)-L6))),"")</f>
        <v/>
      </c>
      <c r="L6" s="49">
        <f>IF(4&lt;=Tenure,MAX(0,F6+G6+J6-K6-L6-M6),"")</f>
        <v/>
      </c>
      <c r="M6" s="49">
        <f>IF(4&lt;=Tenure,IF(4=Tenure,0,MAX(0,E6-M6)),"")</f>
        <v/>
      </c>
      <c r="N6" s="19">
        <f>IF(4&gt;Tenure,"",IF(AND(H6&gt;0,H6&gt;=F6+G6+J6),"Paid",IF(AND(H6&gt;0,H6&lt;F6+G6),"Partial",IF(AND(H6=0,TODAY()&gt;C6),"Overdue","Pending"))))</f>
        <v/>
      </c>
      <c r="O6" s="61" t="n"/>
      <c r="P6" s="61" t="n"/>
      <c r="Q6" s="61" t="n"/>
      <c r="R6" s="62" t="n"/>
      <c r="S6" s="62" t="n"/>
    </row>
    <row r="7">
      <c r="A7" s="63">
        <f>IF(5&lt;=Tenure,5,"")</f>
        <v/>
      </c>
      <c r="B7" s="64">
        <f>IF(5&lt;=Tenure,C6,"")</f>
        <v/>
      </c>
      <c r="C7" s="65">
        <f>IF(5&lt;=Tenure,WORKDAY.INTL(EDATE(FirstPayDate,4)-1,1,1,ArmenianHolidays),"")</f>
        <v/>
      </c>
      <c r="D7" s="66">
        <f>IF(5&lt;=Tenure,IF(5=Tenure,C7-C6+1,C7-C6),"")</f>
        <v/>
      </c>
      <c r="E7" s="60">
        <f>IF(5&lt;=Tenure,O6,"")</f>
        <v/>
      </c>
      <c r="F7" s="49">
        <f>IF(5&lt;=Tenure,E7*D7*(AnnualRate/100),"")</f>
        <v/>
      </c>
      <c r="G7" s="49">
        <f>IF(5&lt;=Tenure,IF(5=Tenure,E7,EMI-F7),"")</f>
        <v/>
      </c>
      <c r="H7" s="60">
        <f>IF(5&lt;=Tenure,IFERROR(SUMIFS(Payments!$C:$C,Payments!$B:$B,A7),0),"")</f>
        <v/>
      </c>
      <c r="I7" s="64">
        <f>IF(5&lt;=Tenure,IFERROR(AGGREGATE(15,6,Payments!$A$3:$A$200/(Payments!$B$3:$B$200=A7),1),""),"")</f>
        <v/>
      </c>
      <c r="J7" s="49">
        <f>IF(5&lt;=Tenure,IF(H7=0,0,IF(AND(I7&lt;&gt;"",I7&lt;&gt;0,I7&lt;C7),MIN(F7,MAX(0,H7-K7)-IFERROR(MIN(MAX(0,(MAX(0,H7-K7)-F7)/(1-MAX(0,C7-I7)*(AnnualRate/100))),E7,MAX(0,H7-K7)),0)),MIN(F7,MAX(0,H7-K7)))),"")</f>
        <v/>
      </c>
      <c r="K7" s="60">
        <f>IF(5&lt;=Tenure,IF(H7=0,0,MIN(E7,MAX(0,MAX(0,H7-K7)-L7))),"")</f>
        <v/>
      </c>
      <c r="L7" s="49">
        <f>IF(5&lt;=Tenure,MAX(0,F7+G7+J7-K7-L7-M7),"")</f>
        <v/>
      </c>
      <c r="M7" s="49">
        <f>IF(5&lt;=Tenure,IF(5=Tenure,0,MAX(0,E7-M7)),"")</f>
        <v/>
      </c>
      <c r="N7" s="19">
        <f>IF(5&gt;Tenure,"",IF(AND(H7&gt;0,H7&gt;=F7+G7+J7),"Paid",IF(AND(H7&gt;0,H7&lt;F7+G7),"Partial",IF(AND(H7=0,TODAY()&gt;C7),"Overdue","Pending"))))</f>
        <v/>
      </c>
      <c r="O7" s="61" t="n"/>
      <c r="P7" s="61" t="n"/>
      <c r="Q7" s="61" t="n"/>
      <c r="R7" s="62" t="n"/>
      <c r="S7" s="62" t="n"/>
    </row>
    <row r="8">
      <c r="A8" s="63">
        <f>IF(6&lt;=Tenure,6,"")</f>
        <v/>
      </c>
      <c r="B8" s="64">
        <f>IF(6&lt;=Tenure,C7,"")</f>
        <v/>
      </c>
      <c r="C8" s="65">
        <f>IF(6&lt;=Tenure,WORKDAY.INTL(EDATE(FirstPayDate,5)-1,1,1,ArmenianHolidays),"")</f>
        <v/>
      </c>
      <c r="D8" s="66">
        <f>IF(6&lt;=Tenure,IF(6=Tenure,C8-C7+1,C8-C7),"")</f>
        <v/>
      </c>
      <c r="E8" s="60">
        <f>IF(6&lt;=Tenure,O7,"")</f>
        <v/>
      </c>
      <c r="F8" s="49">
        <f>IF(6&lt;=Tenure,E8*D8*(AnnualRate/100),"")</f>
        <v/>
      </c>
      <c r="G8" s="49">
        <f>IF(6&lt;=Tenure,IF(6=Tenure,E8,EMI-F8),"")</f>
        <v/>
      </c>
      <c r="H8" s="60">
        <f>IF(6&lt;=Tenure,IFERROR(SUMIFS(Payments!$C:$C,Payments!$B:$B,A8),0),"")</f>
        <v/>
      </c>
      <c r="I8" s="64">
        <f>IF(6&lt;=Tenure,IFERROR(AGGREGATE(15,6,Payments!$A$3:$A$200/(Payments!$B$3:$B$200=A8),1),""),"")</f>
        <v/>
      </c>
      <c r="J8" s="49">
        <f>IF(6&lt;=Tenure,IF(H8=0,0,IF(AND(I8&lt;&gt;"",I8&lt;&gt;0,I8&lt;C8),MIN(F8,MAX(0,H8-K8)-IFERROR(MIN(MAX(0,(MAX(0,H8-K8)-F8)/(1-MAX(0,C8-I8)*(AnnualRate/100))),E8,MAX(0,H8-K8)),0)),MIN(F8,MAX(0,H8-K8)))),"")</f>
        <v/>
      </c>
      <c r="K8" s="60">
        <f>IF(6&lt;=Tenure,IF(H8=0,0,MIN(E8,MAX(0,MAX(0,H8-K8)-L8))),"")</f>
        <v/>
      </c>
      <c r="L8" s="49">
        <f>IF(6&lt;=Tenure,MAX(0,F8+G8+J8-K8-L8-M8),"")</f>
        <v/>
      </c>
      <c r="M8" s="49">
        <f>IF(6&lt;=Tenure,IF(6=Tenure,0,MAX(0,E8-M8)),"")</f>
        <v/>
      </c>
      <c r="N8" s="19">
        <f>IF(6&gt;Tenure,"",IF(AND(H8&gt;0,H8&gt;=F8+G8+J8),"Paid",IF(AND(H8&gt;0,H8&lt;F8+G8),"Partial",IF(AND(H8=0,TODAY()&gt;C8),"Overdue","Pending"))))</f>
        <v/>
      </c>
      <c r="O8" s="61" t="n"/>
      <c r="P8" s="61" t="n"/>
      <c r="Q8" s="61" t="n"/>
      <c r="R8" s="62" t="n"/>
      <c r="S8" s="62" t="n"/>
    </row>
    <row r="9">
      <c r="A9" s="63">
        <f>IF(7&lt;=Tenure,7,"")</f>
        <v/>
      </c>
      <c r="B9" s="64">
        <f>IF(7&lt;=Tenure,C8,"")</f>
        <v/>
      </c>
      <c r="C9" s="65">
        <f>IF(7&lt;=Tenure,WORKDAY.INTL(EDATE(FirstPayDate,6)-1,1,1,ArmenianHolidays),"")</f>
        <v/>
      </c>
      <c r="D9" s="66">
        <f>IF(7&lt;=Tenure,IF(7=Tenure,C9-C8+1,C9-C8),"")</f>
        <v/>
      </c>
      <c r="E9" s="60">
        <f>IF(7&lt;=Tenure,O8,"")</f>
        <v/>
      </c>
      <c r="F9" s="49">
        <f>IF(7&lt;=Tenure,E9*D9*(AnnualRate/100),"")</f>
        <v/>
      </c>
      <c r="G9" s="49">
        <f>IF(7&lt;=Tenure,IF(7=Tenure,E9,EMI-F9),"")</f>
        <v/>
      </c>
      <c r="H9" s="60">
        <f>IF(7&lt;=Tenure,IFERROR(SUMIFS(Payments!$C:$C,Payments!$B:$B,A9),0),"")</f>
        <v/>
      </c>
      <c r="I9" s="64">
        <f>IF(7&lt;=Tenure,IFERROR(AGGREGATE(15,6,Payments!$A$3:$A$200/(Payments!$B$3:$B$200=A9),1),""),"")</f>
        <v/>
      </c>
      <c r="J9" s="49">
        <f>IF(7&lt;=Tenure,IF(H9=0,0,IF(AND(I9&lt;&gt;"",I9&lt;&gt;0,I9&lt;C9),MIN(F9,MAX(0,H9-K9)-IFERROR(MIN(MAX(0,(MAX(0,H9-K9)-F9)/(1-MAX(0,C9-I9)*(AnnualRate/100))),E9,MAX(0,H9-K9)),0)),MIN(F9,MAX(0,H9-K9)))),"")</f>
        <v/>
      </c>
      <c r="K9" s="60">
        <f>IF(7&lt;=Tenure,IF(H9=0,0,MIN(E9,MAX(0,MAX(0,H9-K9)-L9))),"")</f>
        <v/>
      </c>
      <c r="L9" s="49">
        <f>IF(7&lt;=Tenure,MAX(0,F9+G9+J9-K9-L9-M9),"")</f>
        <v/>
      </c>
      <c r="M9" s="49">
        <f>IF(7&lt;=Tenure,IF(7=Tenure,0,MAX(0,E9-M9)),"")</f>
        <v/>
      </c>
      <c r="N9" s="19">
        <f>IF(7&gt;Tenure,"",IF(AND(H9&gt;0,H9&gt;=F9+G9+J9),"Paid",IF(AND(H9&gt;0,H9&lt;F9+G9),"Partial",IF(AND(H9=0,TODAY()&gt;C9),"Overdue","Pending"))))</f>
        <v/>
      </c>
      <c r="O9" s="61" t="n"/>
      <c r="P9" s="61" t="n"/>
      <c r="Q9" s="61" t="n"/>
      <c r="R9" s="62" t="n"/>
      <c r="S9" s="62" t="n"/>
    </row>
    <row r="10">
      <c r="A10" s="63">
        <f>IF(8&lt;=Tenure,8,"")</f>
        <v/>
      </c>
      <c r="B10" s="64">
        <f>IF(8&lt;=Tenure,C9,"")</f>
        <v/>
      </c>
      <c r="C10" s="65">
        <f>IF(8&lt;=Tenure,WORKDAY.INTL(EDATE(FirstPayDate,7)-1,1,1,ArmenianHolidays),"")</f>
        <v/>
      </c>
      <c r="D10" s="66">
        <f>IF(8&lt;=Tenure,IF(8=Tenure,C10-C9+1,C10-C9),"")</f>
        <v/>
      </c>
      <c r="E10" s="60">
        <f>IF(8&lt;=Tenure,O9,"")</f>
        <v/>
      </c>
      <c r="F10" s="49">
        <f>IF(8&lt;=Tenure,E10*D10*(AnnualRate/100),"")</f>
        <v/>
      </c>
      <c r="G10" s="49">
        <f>IF(8&lt;=Tenure,IF(8=Tenure,E10,EMI-F10),"")</f>
        <v/>
      </c>
      <c r="H10" s="60">
        <f>IF(8&lt;=Tenure,IFERROR(SUMIFS(Payments!$C:$C,Payments!$B:$B,A10),0),"")</f>
        <v/>
      </c>
      <c r="I10" s="64">
        <f>IF(8&lt;=Tenure,IFERROR(AGGREGATE(15,6,Payments!$A$3:$A$200/(Payments!$B$3:$B$200=A10),1),""),"")</f>
        <v/>
      </c>
      <c r="J10" s="49">
        <f>IF(8&lt;=Tenure,IF(H10=0,0,IF(AND(I10&lt;&gt;"",I10&lt;&gt;0,I10&lt;C10),MIN(F10,MAX(0,H10-K10)-IFERROR(MIN(MAX(0,(MAX(0,H10-K10)-F10)/(1-MAX(0,C10-I10)*(AnnualRate/100))),E10,MAX(0,H10-K10)),0)),MIN(F10,MAX(0,H10-K10)))),"")</f>
        <v/>
      </c>
      <c r="K10" s="60">
        <f>IF(8&lt;=Tenure,IF(H10=0,0,MIN(E10,MAX(0,MAX(0,H10-K10)-L10))),"")</f>
        <v/>
      </c>
      <c r="L10" s="49">
        <f>IF(8&lt;=Tenure,MAX(0,F10+G10+J10-K10-L10-M10),"")</f>
        <v/>
      </c>
      <c r="M10" s="49">
        <f>IF(8&lt;=Tenure,IF(8=Tenure,0,MAX(0,E10-M10)),"")</f>
        <v/>
      </c>
      <c r="N10" s="19">
        <f>IF(8&gt;Tenure,"",IF(AND(H10&gt;0,H10&gt;=F10+G10+J10),"Paid",IF(AND(H10&gt;0,H10&lt;F10+G10),"Partial",IF(AND(H10=0,TODAY()&gt;C10),"Overdue","Pending"))))</f>
        <v/>
      </c>
      <c r="O10" s="61" t="n"/>
      <c r="P10" s="61" t="n"/>
      <c r="Q10" s="61" t="n"/>
      <c r="R10" s="62" t="n"/>
      <c r="S10" s="62" t="n"/>
    </row>
    <row r="11">
      <c r="A11" s="63">
        <f>IF(9&lt;=Tenure,9,"")</f>
        <v/>
      </c>
      <c r="B11" s="64">
        <f>IF(9&lt;=Tenure,C10,"")</f>
        <v/>
      </c>
      <c r="C11" s="65">
        <f>IF(9&lt;=Tenure,WORKDAY.INTL(EDATE(FirstPayDate,8)-1,1,1,ArmenianHolidays),"")</f>
        <v/>
      </c>
      <c r="D11" s="66">
        <f>IF(9&lt;=Tenure,IF(9=Tenure,C11-C10+1,C11-C10),"")</f>
        <v/>
      </c>
      <c r="E11" s="60">
        <f>IF(9&lt;=Tenure,O10,"")</f>
        <v/>
      </c>
      <c r="F11" s="49">
        <f>IF(9&lt;=Tenure,E11*D11*(AnnualRate/100),"")</f>
        <v/>
      </c>
      <c r="G11" s="49">
        <f>IF(9&lt;=Tenure,IF(9=Tenure,E11,EMI-F11),"")</f>
        <v/>
      </c>
      <c r="H11" s="60">
        <f>IF(9&lt;=Tenure,IFERROR(SUMIFS(Payments!$C:$C,Payments!$B:$B,A11),0),"")</f>
        <v/>
      </c>
      <c r="I11" s="64">
        <f>IF(9&lt;=Tenure,IFERROR(AGGREGATE(15,6,Payments!$A$3:$A$200/(Payments!$B$3:$B$200=A11),1),""),"")</f>
        <v/>
      </c>
      <c r="J11" s="49">
        <f>IF(9&lt;=Tenure,IF(H11=0,0,IF(AND(I11&lt;&gt;"",I11&lt;&gt;0,I11&lt;C11),MIN(F11,MAX(0,H11-K11)-IFERROR(MIN(MAX(0,(MAX(0,H11-K11)-F11)/(1-MAX(0,C11-I11)*(AnnualRate/100))),E11,MAX(0,H11-K11)),0)),MIN(F11,MAX(0,H11-K11)))),"")</f>
        <v/>
      </c>
      <c r="K11" s="60">
        <f>IF(9&lt;=Tenure,IF(H11=0,0,MIN(E11,MAX(0,MAX(0,H11-K11)-L11))),"")</f>
        <v/>
      </c>
      <c r="L11" s="49">
        <f>IF(9&lt;=Tenure,MAX(0,F11+G11+J11-K11-L11-M11),"")</f>
        <v/>
      </c>
      <c r="M11" s="49">
        <f>IF(9&lt;=Tenure,IF(9=Tenure,0,MAX(0,E11-M11)),"")</f>
        <v/>
      </c>
      <c r="N11" s="19">
        <f>IF(9&gt;Tenure,"",IF(AND(H11&gt;0,H11&gt;=F11+G11+J11),"Paid",IF(AND(H11&gt;0,H11&lt;F11+G11),"Partial",IF(AND(H11=0,TODAY()&gt;C11),"Overdue","Pending"))))</f>
        <v/>
      </c>
      <c r="O11" s="61" t="n"/>
      <c r="P11" s="61" t="n"/>
      <c r="Q11" s="61" t="n"/>
      <c r="R11" s="62" t="n"/>
      <c r="S11" s="62" t="n"/>
    </row>
    <row r="12">
      <c r="A12" s="63">
        <f>IF(10&lt;=Tenure,10,"")</f>
        <v/>
      </c>
      <c r="B12" s="64">
        <f>IF(10&lt;=Tenure,C11,"")</f>
        <v/>
      </c>
      <c r="C12" s="65">
        <f>IF(10&lt;=Tenure,WORKDAY.INTL(EDATE(FirstPayDate,9)-1,1,1,ArmenianHolidays),"")</f>
        <v/>
      </c>
      <c r="D12" s="66">
        <f>IF(10&lt;=Tenure,IF(10=Tenure,C12-C11+1,C12-C11),"")</f>
        <v/>
      </c>
      <c r="E12" s="60">
        <f>IF(10&lt;=Tenure,O11,"")</f>
        <v/>
      </c>
      <c r="F12" s="49">
        <f>IF(10&lt;=Tenure,E12*D12*(AnnualRate/100),"")</f>
        <v/>
      </c>
      <c r="G12" s="49">
        <f>IF(10&lt;=Tenure,IF(10=Tenure,E12,EMI-F12),"")</f>
        <v/>
      </c>
      <c r="H12" s="60">
        <f>IF(10&lt;=Tenure,IFERROR(SUMIFS(Payments!$C:$C,Payments!$B:$B,A12),0),"")</f>
        <v/>
      </c>
      <c r="I12" s="64">
        <f>IF(10&lt;=Tenure,IFERROR(AGGREGATE(15,6,Payments!$A$3:$A$200/(Payments!$B$3:$B$200=A12),1),""),"")</f>
        <v/>
      </c>
      <c r="J12" s="49">
        <f>IF(10&lt;=Tenure,IF(H12=0,0,IF(AND(I12&lt;&gt;"",I12&lt;&gt;0,I12&lt;C12),MIN(F12,MAX(0,H12-K12)-IFERROR(MIN(MAX(0,(MAX(0,H12-K12)-F12)/(1-MAX(0,C12-I12)*(AnnualRate/100))),E12,MAX(0,H12-K12)),0)),MIN(F12,MAX(0,H12-K12)))),"")</f>
        <v/>
      </c>
      <c r="K12" s="60">
        <f>IF(10&lt;=Tenure,IF(H12=0,0,MIN(E12,MAX(0,MAX(0,H12-K12)-L12))),"")</f>
        <v/>
      </c>
      <c r="L12" s="49">
        <f>IF(10&lt;=Tenure,MAX(0,F12+G12+J12-K12-L12-M12),"")</f>
        <v/>
      </c>
      <c r="M12" s="49">
        <f>IF(10&lt;=Tenure,IF(10=Tenure,0,MAX(0,E12-M12)),"")</f>
        <v/>
      </c>
      <c r="N12" s="19">
        <f>IF(10&gt;Tenure,"",IF(AND(H12&gt;0,H12&gt;=F12+G12+J12),"Paid",IF(AND(H12&gt;0,H12&lt;F12+G12),"Partial",IF(AND(H12=0,TODAY()&gt;C12),"Overdue","Pending"))))</f>
        <v/>
      </c>
      <c r="O12" s="61" t="n"/>
      <c r="P12" s="61" t="n"/>
      <c r="Q12" s="61" t="n"/>
      <c r="R12" s="62" t="n"/>
      <c r="S12" s="62" t="n"/>
    </row>
    <row r="13">
      <c r="A13" s="63">
        <f>IF(11&lt;=Tenure,11,"")</f>
        <v/>
      </c>
      <c r="B13" s="64">
        <f>IF(11&lt;=Tenure,C12,"")</f>
        <v/>
      </c>
      <c r="C13" s="65">
        <f>IF(11&lt;=Tenure,WORKDAY.INTL(EDATE(FirstPayDate,10)-1,1,1,ArmenianHolidays),"")</f>
        <v/>
      </c>
      <c r="D13" s="66">
        <f>IF(11&lt;=Tenure,IF(11=Tenure,C13-C12+1,C13-C12),"")</f>
        <v/>
      </c>
      <c r="E13" s="60">
        <f>IF(11&lt;=Tenure,O12,"")</f>
        <v/>
      </c>
      <c r="F13" s="49">
        <f>IF(11&lt;=Tenure,E13*D13*(AnnualRate/100),"")</f>
        <v/>
      </c>
      <c r="G13" s="49">
        <f>IF(11&lt;=Tenure,IF(11=Tenure,E13,EMI-F13),"")</f>
        <v/>
      </c>
      <c r="H13" s="60">
        <f>IF(11&lt;=Tenure,IFERROR(SUMIFS(Payments!$C:$C,Payments!$B:$B,A13),0),"")</f>
        <v/>
      </c>
      <c r="I13" s="64">
        <f>IF(11&lt;=Tenure,IFERROR(AGGREGATE(15,6,Payments!$A$3:$A$200/(Payments!$B$3:$B$200=A13),1),""),"")</f>
        <v/>
      </c>
      <c r="J13" s="49">
        <f>IF(11&lt;=Tenure,IF(H13=0,0,IF(AND(I13&lt;&gt;"",I13&lt;&gt;0,I13&lt;C13),MIN(F13,MAX(0,H13-K13)-IFERROR(MIN(MAX(0,(MAX(0,H13-K13)-F13)/(1-MAX(0,C13-I13)*(AnnualRate/100))),E13,MAX(0,H13-K13)),0)),MIN(F13,MAX(0,H13-K13)))),"")</f>
        <v/>
      </c>
      <c r="K13" s="60">
        <f>IF(11&lt;=Tenure,IF(H13=0,0,MIN(E13,MAX(0,MAX(0,H13-K13)-L13))),"")</f>
        <v/>
      </c>
      <c r="L13" s="49">
        <f>IF(11&lt;=Tenure,MAX(0,F13+G13+J13-K13-L13-M13),"")</f>
        <v/>
      </c>
      <c r="M13" s="49">
        <f>IF(11&lt;=Tenure,IF(11=Tenure,0,MAX(0,E13-M13)),"")</f>
        <v/>
      </c>
      <c r="N13" s="19">
        <f>IF(11&gt;Tenure,"",IF(AND(H13&gt;0,H13&gt;=F13+G13+J13),"Paid",IF(AND(H13&gt;0,H13&lt;F13+G13),"Partial",IF(AND(H13=0,TODAY()&gt;C13),"Overdue","Pending"))))</f>
        <v/>
      </c>
      <c r="O13" s="61" t="n"/>
      <c r="P13" s="61" t="n"/>
      <c r="Q13" s="61" t="n"/>
      <c r="R13" s="62" t="n"/>
      <c r="S13" s="62" t="n"/>
    </row>
    <row r="14">
      <c r="A14" s="63">
        <f>IF(12&lt;=Tenure,12,"")</f>
        <v/>
      </c>
      <c r="B14" s="64">
        <f>IF(12&lt;=Tenure,C13,"")</f>
        <v/>
      </c>
      <c r="C14" s="65">
        <f>IF(12&lt;=Tenure,WORKDAY.INTL(EDATE(FirstPayDate,11)-1,1,1,ArmenianHolidays),"")</f>
        <v/>
      </c>
      <c r="D14" s="66">
        <f>IF(12&lt;=Tenure,IF(12=Tenure,C14-C13+1,C14-C13),"")</f>
        <v/>
      </c>
      <c r="E14" s="60">
        <f>IF(12&lt;=Tenure,O13,"")</f>
        <v/>
      </c>
      <c r="F14" s="49">
        <f>IF(12&lt;=Tenure,E14*D14*(AnnualRate/100),"")</f>
        <v/>
      </c>
      <c r="G14" s="49">
        <f>IF(12&lt;=Tenure,IF(12=Tenure,E14,EMI-F14),"")</f>
        <v/>
      </c>
      <c r="H14" s="60">
        <f>IF(12&lt;=Tenure,IFERROR(SUMIFS(Payments!$C:$C,Payments!$B:$B,A14),0),"")</f>
        <v/>
      </c>
      <c r="I14" s="64">
        <f>IF(12&lt;=Tenure,IFERROR(AGGREGATE(15,6,Payments!$A$3:$A$200/(Payments!$B$3:$B$200=A14),1),""),"")</f>
        <v/>
      </c>
      <c r="J14" s="49">
        <f>IF(12&lt;=Tenure,IF(H14=0,0,IF(AND(I14&lt;&gt;"",I14&lt;&gt;0,I14&lt;C14),MIN(F14,MAX(0,H14-K14)-IFERROR(MIN(MAX(0,(MAX(0,H14-K14)-F14)/(1-MAX(0,C14-I14)*(AnnualRate/100))),E14,MAX(0,H14-K14)),0)),MIN(F14,MAX(0,H14-K14)))),"")</f>
        <v/>
      </c>
      <c r="K14" s="60">
        <f>IF(12&lt;=Tenure,IF(H14=0,0,MIN(E14,MAX(0,MAX(0,H14-K14)-L14))),"")</f>
        <v/>
      </c>
      <c r="L14" s="49">
        <f>IF(12&lt;=Tenure,MAX(0,F14+G14+J14-K14-L14-M14),"")</f>
        <v/>
      </c>
      <c r="M14" s="49">
        <f>IF(12&lt;=Tenure,IF(12=Tenure,0,MAX(0,E14-M14)),"")</f>
        <v/>
      </c>
      <c r="N14" s="19">
        <f>IF(12&gt;Tenure,"",IF(AND(H14&gt;0,H14&gt;=F14+G14+J14),"Paid",IF(AND(H14&gt;0,H14&lt;F14+G14),"Partial",IF(AND(H14=0,TODAY()&gt;C14),"Overdue","Pending"))))</f>
        <v/>
      </c>
      <c r="O14" s="61" t="n"/>
      <c r="P14" s="61" t="n"/>
      <c r="Q14" s="61" t="n"/>
      <c r="R14" s="62" t="n"/>
      <c r="S14" s="62" t="n"/>
    </row>
    <row r="15">
      <c r="A15" s="63">
        <f>IF(13&lt;=Tenure,13,"")</f>
        <v/>
      </c>
      <c r="B15" s="64">
        <f>IF(13&lt;=Tenure,C14,"")</f>
        <v/>
      </c>
      <c r="C15" s="65">
        <f>IF(13&lt;=Tenure,WORKDAY.INTL(EDATE(FirstPayDate,12)-1,1,1,ArmenianHolidays),"")</f>
        <v/>
      </c>
      <c r="D15" s="66">
        <f>IF(13&lt;=Tenure,IF(13=Tenure,C15-C14+1,C15-C14),"")</f>
        <v/>
      </c>
      <c r="E15" s="60">
        <f>IF(13&lt;=Tenure,O14,"")</f>
        <v/>
      </c>
      <c r="F15" s="49">
        <f>IF(13&lt;=Tenure,E15*D15*(AnnualRate/100),"")</f>
        <v/>
      </c>
      <c r="G15" s="49">
        <f>IF(13&lt;=Tenure,IF(13=Tenure,E15,EMI-F15),"")</f>
        <v/>
      </c>
      <c r="H15" s="60">
        <f>IF(13&lt;=Tenure,IFERROR(SUMIFS(Payments!$C:$C,Payments!$B:$B,A15),0),"")</f>
        <v/>
      </c>
      <c r="I15" s="64">
        <f>IF(13&lt;=Tenure,IFERROR(AGGREGATE(15,6,Payments!$A$3:$A$200/(Payments!$B$3:$B$200=A15),1),""),"")</f>
        <v/>
      </c>
      <c r="J15" s="49">
        <f>IF(13&lt;=Tenure,IF(H15=0,0,IF(AND(I15&lt;&gt;"",I15&lt;&gt;0,I15&lt;C15),MIN(F15,MAX(0,H15-K15)-IFERROR(MIN(MAX(0,(MAX(0,H15-K15)-F15)/(1-MAX(0,C15-I15)*(AnnualRate/100))),E15,MAX(0,H15-K15)),0)),MIN(F15,MAX(0,H15-K15)))),"")</f>
        <v/>
      </c>
      <c r="K15" s="60">
        <f>IF(13&lt;=Tenure,IF(H15=0,0,MIN(E15,MAX(0,MAX(0,H15-K15)-L15))),"")</f>
        <v/>
      </c>
      <c r="L15" s="49">
        <f>IF(13&lt;=Tenure,MAX(0,F15+G15+J15-K15-L15-M15),"")</f>
        <v/>
      </c>
      <c r="M15" s="49">
        <f>IF(13&lt;=Tenure,IF(13=Tenure,0,MAX(0,E15-M15)),"")</f>
        <v/>
      </c>
      <c r="N15" s="19">
        <f>IF(13&gt;Tenure,"",IF(AND(H15&gt;0,H15&gt;=F15+G15+J15),"Paid",IF(AND(H15&gt;0,H15&lt;F15+G15),"Partial",IF(AND(H15=0,TODAY()&gt;C15),"Overdue","Pending"))))</f>
        <v/>
      </c>
      <c r="O15" s="61" t="n"/>
      <c r="P15" s="61" t="n"/>
      <c r="Q15" s="61" t="n"/>
      <c r="R15" s="62" t="n"/>
      <c r="S15" s="62" t="n"/>
    </row>
    <row r="16">
      <c r="A16" s="63">
        <f>IF(14&lt;=Tenure,14,"")</f>
        <v/>
      </c>
      <c r="B16" s="64">
        <f>IF(14&lt;=Tenure,C15,"")</f>
        <v/>
      </c>
      <c r="C16" s="65">
        <f>IF(14&lt;=Tenure,WORKDAY.INTL(EDATE(FirstPayDate,13)-1,1,1,ArmenianHolidays),"")</f>
        <v/>
      </c>
      <c r="D16" s="66">
        <f>IF(14&lt;=Tenure,IF(14=Tenure,C16-C15+1,C16-C15),"")</f>
        <v/>
      </c>
      <c r="E16" s="60">
        <f>IF(14&lt;=Tenure,O15,"")</f>
        <v/>
      </c>
      <c r="F16" s="49">
        <f>IF(14&lt;=Tenure,E16*D16*(AnnualRate/100),"")</f>
        <v/>
      </c>
      <c r="G16" s="49">
        <f>IF(14&lt;=Tenure,IF(14=Tenure,E16,EMI-F16),"")</f>
        <v/>
      </c>
      <c r="H16" s="60">
        <f>IF(14&lt;=Tenure,IFERROR(SUMIFS(Payments!$C:$C,Payments!$B:$B,A16),0),"")</f>
        <v/>
      </c>
      <c r="I16" s="64">
        <f>IF(14&lt;=Tenure,IFERROR(AGGREGATE(15,6,Payments!$A$3:$A$200/(Payments!$B$3:$B$200=A16),1),""),"")</f>
        <v/>
      </c>
      <c r="J16" s="49">
        <f>IF(14&lt;=Tenure,IF(H16=0,0,IF(AND(I16&lt;&gt;"",I16&lt;&gt;0,I16&lt;C16),MIN(F16,MAX(0,H16-K16)-IFERROR(MIN(MAX(0,(MAX(0,H16-K16)-F16)/(1-MAX(0,C16-I16)*(AnnualRate/100))),E16,MAX(0,H16-K16)),0)),MIN(F16,MAX(0,H16-K16)))),"")</f>
        <v/>
      </c>
      <c r="K16" s="60">
        <f>IF(14&lt;=Tenure,IF(H16=0,0,MIN(E16,MAX(0,MAX(0,H16-K16)-L16))),"")</f>
        <v/>
      </c>
      <c r="L16" s="49">
        <f>IF(14&lt;=Tenure,MAX(0,F16+G16+J16-K16-L16-M16),"")</f>
        <v/>
      </c>
      <c r="M16" s="49">
        <f>IF(14&lt;=Tenure,IF(14=Tenure,0,MAX(0,E16-M16)),"")</f>
        <v/>
      </c>
      <c r="N16" s="19">
        <f>IF(14&gt;Tenure,"",IF(AND(H16&gt;0,H16&gt;=F16+G16+J16),"Paid",IF(AND(H16&gt;0,H16&lt;F16+G16),"Partial",IF(AND(H16=0,TODAY()&gt;C16),"Overdue","Pending"))))</f>
        <v/>
      </c>
      <c r="O16" s="61" t="n"/>
      <c r="P16" s="61" t="n"/>
      <c r="Q16" s="61" t="n"/>
      <c r="R16" s="62" t="n"/>
      <c r="S16" s="62" t="n"/>
    </row>
    <row r="17">
      <c r="A17" s="63">
        <f>IF(15&lt;=Tenure,15,"")</f>
        <v/>
      </c>
      <c r="B17" s="64">
        <f>IF(15&lt;=Tenure,C16,"")</f>
        <v/>
      </c>
      <c r="C17" s="65">
        <f>IF(15&lt;=Tenure,WORKDAY.INTL(EDATE(FirstPayDate,14)-1,1,1,ArmenianHolidays),"")</f>
        <v/>
      </c>
      <c r="D17" s="66">
        <f>IF(15&lt;=Tenure,IF(15=Tenure,C17-C16+1,C17-C16),"")</f>
        <v/>
      </c>
      <c r="E17" s="60">
        <f>IF(15&lt;=Tenure,O16,"")</f>
        <v/>
      </c>
      <c r="F17" s="49">
        <f>IF(15&lt;=Tenure,E17*D17*(AnnualRate/100),"")</f>
        <v/>
      </c>
      <c r="G17" s="49">
        <f>IF(15&lt;=Tenure,IF(15=Tenure,E17,EMI-F17),"")</f>
        <v/>
      </c>
      <c r="H17" s="60">
        <f>IF(15&lt;=Tenure,IFERROR(SUMIFS(Payments!$C:$C,Payments!$B:$B,A17),0),"")</f>
        <v/>
      </c>
      <c r="I17" s="64">
        <f>IF(15&lt;=Tenure,IFERROR(AGGREGATE(15,6,Payments!$A$3:$A$200/(Payments!$B$3:$B$200=A17),1),""),"")</f>
        <v/>
      </c>
      <c r="J17" s="49">
        <f>IF(15&lt;=Tenure,IF(H17=0,0,IF(AND(I17&lt;&gt;"",I17&lt;&gt;0,I17&lt;C17),MIN(F17,MAX(0,H17-K17)-IFERROR(MIN(MAX(0,(MAX(0,H17-K17)-F17)/(1-MAX(0,C17-I17)*(AnnualRate/100))),E17,MAX(0,H17-K17)),0)),MIN(F17,MAX(0,H17-K17)))),"")</f>
        <v/>
      </c>
      <c r="K17" s="60">
        <f>IF(15&lt;=Tenure,IF(H17=0,0,MIN(E17,MAX(0,MAX(0,H17-K17)-L17))),"")</f>
        <v/>
      </c>
      <c r="L17" s="49">
        <f>IF(15&lt;=Tenure,MAX(0,F17+G17+J17-K17-L17-M17),"")</f>
        <v/>
      </c>
      <c r="M17" s="49">
        <f>IF(15&lt;=Tenure,IF(15=Tenure,0,MAX(0,E17-M17)),"")</f>
        <v/>
      </c>
      <c r="N17" s="19">
        <f>IF(15&gt;Tenure,"",IF(AND(H17&gt;0,H17&gt;=F17+G17+J17),"Paid",IF(AND(H17&gt;0,H17&lt;F17+G17),"Partial",IF(AND(H17=0,TODAY()&gt;C17),"Overdue","Pending"))))</f>
        <v/>
      </c>
      <c r="O17" s="61" t="n"/>
      <c r="P17" s="61" t="n"/>
      <c r="Q17" s="61" t="n"/>
      <c r="R17" s="62" t="n"/>
      <c r="S17" s="62" t="n"/>
    </row>
    <row r="18">
      <c r="A18" s="63">
        <f>IF(16&lt;=Tenure,16,"")</f>
        <v/>
      </c>
      <c r="B18" s="64">
        <f>IF(16&lt;=Tenure,C17,"")</f>
        <v/>
      </c>
      <c r="C18" s="65">
        <f>IF(16&lt;=Tenure,WORKDAY.INTL(EDATE(FirstPayDate,15)-1,1,1,ArmenianHolidays),"")</f>
        <v/>
      </c>
      <c r="D18" s="66">
        <f>IF(16&lt;=Tenure,IF(16=Tenure,C18-C17+1,C18-C17),"")</f>
        <v/>
      </c>
      <c r="E18" s="60">
        <f>IF(16&lt;=Tenure,O17,"")</f>
        <v/>
      </c>
      <c r="F18" s="49">
        <f>IF(16&lt;=Tenure,E18*D18*(AnnualRate/100),"")</f>
        <v/>
      </c>
      <c r="G18" s="49">
        <f>IF(16&lt;=Tenure,IF(16=Tenure,E18,EMI-F18),"")</f>
        <v/>
      </c>
      <c r="H18" s="60">
        <f>IF(16&lt;=Tenure,IFERROR(SUMIFS(Payments!$C:$C,Payments!$B:$B,A18),0),"")</f>
        <v/>
      </c>
      <c r="I18" s="64">
        <f>IF(16&lt;=Tenure,IFERROR(AGGREGATE(15,6,Payments!$A$3:$A$200/(Payments!$B$3:$B$200=A18),1),""),"")</f>
        <v/>
      </c>
      <c r="J18" s="49">
        <f>IF(16&lt;=Tenure,IF(H18=0,0,IF(AND(I18&lt;&gt;"",I18&lt;&gt;0,I18&lt;C18),MIN(F18,MAX(0,H18-K18)-IFERROR(MIN(MAX(0,(MAX(0,H18-K18)-F18)/(1-MAX(0,C18-I18)*(AnnualRate/100))),E18,MAX(0,H18-K18)),0)),MIN(F18,MAX(0,H18-K18)))),"")</f>
        <v/>
      </c>
      <c r="K18" s="60">
        <f>IF(16&lt;=Tenure,IF(H18=0,0,MIN(E18,MAX(0,MAX(0,H18-K18)-L18))),"")</f>
        <v/>
      </c>
      <c r="L18" s="49">
        <f>IF(16&lt;=Tenure,MAX(0,F18+G18+J18-K18-L18-M18),"")</f>
        <v/>
      </c>
      <c r="M18" s="49">
        <f>IF(16&lt;=Tenure,IF(16=Tenure,0,MAX(0,E18-M18)),"")</f>
        <v/>
      </c>
      <c r="N18" s="19">
        <f>IF(16&gt;Tenure,"",IF(AND(H18&gt;0,H18&gt;=F18+G18+J18),"Paid",IF(AND(H18&gt;0,H18&lt;F18+G18),"Partial",IF(AND(H18=0,TODAY()&gt;C18),"Overdue","Pending"))))</f>
        <v/>
      </c>
      <c r="O18" s="61" t="n"/>
      <c r="P18" s="61" t="n"/>
      <c r="Q18" s="61" t="n"/>
      <c r="R18" s="62" t="n"/>
      <c r="S18" s="62" t="n"/>
    </row>
    <row r="19">
      <c r="A19" s="63">
        <f>IF(17&lt;=Tenure,17,"")</f>
        <v/>
      </c>
      <c r="B19" s="64">
        <f>IF(17&lt;=Tenure,C18,"")</f>
        <v/>
      </c>
      <c r="C19" s="65">
        <f>IF(17&lt;=Tenure,WORKDAY.INTL(EDATE(FirstPayDate,16)-1,1,1,ArmenianHolidays),"")</f>
        <v/>
      </c>
      <c r="D19" s="66">
        <f>IF(17&lt;=Tenure,IF(17=Tenure,C19-C18+1,C19-C18),"")</f>
        <v/>
      </c>
      <c r="E19" s="60">
        <f>IF(17&lt;=Tenure,O18,"")</f>
        <v/>
      </c>
      <c r="F19" s="49">
        <f>IF(17&lt;=Tenure,E19*D19*(AnnualRate/100),"")</f>
        <v/>
      </c>
      <c r="G19" s="49">
        <f>IF(17&lt;=Tenure,IF(17=Tenure,E19,EMI-F19),"")</f>
        <v/>
      </c>
      <c r="H19" s="60">
        <f>IF(17&lt;=Tenure,IFERROR(SUMIFS(Payments!$C:$C,Payments!$B:$B,A19),0),"")</f>
        <v/>
      </c>
      <c r="I19" s="64">
        <f>IF(17&lt;=Tenure,IFERROR(AGGREGATE(15,6,Payments!$A$3:$A$200/(Payments!$B$3:$B$200=A19),1),""),"")</f>
        <v/>
      </c>
      <c r="J19" s="49">
        <f>IF(17&lt;=Tenure,IF(H19=0,0,IF(AND(I19&lt;&gt;"",I19&lt;&gt;0,I19&lt;C19),MIN(F19,MAX(0,H19-K19)-IFERROR(MIN(MAX(0,(MAX(0,H19-K19)-F19)/(1-MAX(0,C19-I19)*(AnnualRate/100))),E19,MAX(0,H19-K19)),0)),MIN(F19,MAX(0,H19-K19)))),"")</f>
        <v/>
      </c>
      <c r="K19" s="60">
        <f>IF(17&lt;=Tenure,IF(H19=0,0,MIN(E19,MAX(0,MAX(0,H19-K19)-L19))),"")</f>
        <v/>
      </c>
      <c r="L19" s="49">
        <f>IF(17&lt;=Tenure,MAX(0,F19+G19+J19-K19-L19-M19),"")</f>
        <v/>
      </c>
      <c r="M19" s="49">
        <f>IF(17&lt;=Tenure,IF(17=Tenure,0,MAX(0,E19-M19)),"")</f>
        <v/>
      </c>
      <c r="N19" s="19">
        <f>IF(17&gt;Tenure,"",IF(AND(H19&gt;0,H19&gt;=F19+G19+J19),"Paid",IF(AND(H19&gt;0,H19&lt;F19+G19),"Partial",IF(AND(H19=0,TODAY()&gt;C19),"Overdue","Pending"))))</f>
        <v/>
      </c>
      <c r="O19" s="61" t="n"/>
      <c r="P19" s="61" t="n"/>
      <c r="Q19" s="61" t="n"/>
      <c r="R19" s="62" t="n"/>
      <c r="S19" s="62" t="n"/>
    </row>
    <row r="20">
      <c r="A20" s="63">
        <f>IF(18&lt;=Tenure,18,"")</f>
        <v/>
      </c>
      <c r="B20" s="64">
        <f>IF(18&lt;=Tenure,C19,"")</f>
        <v/>
      </c>
      <c r="C20" s="65">
        <f>IF(18&lt;=Tenure,WORKDAY.INTL(EDATE(FirstPayDate,17)-1,1,1,ArmenianHolidays),"")</f>
        <v/>
      </c>
      <c r="D20" s="66">
        <f>IF(18&lt;=Tenure,IF(18=Tenure,C20-C19+1,C20-C19),"")</f>
        <v/>
      </c>
      <c r="E20" s="60">
        <f>IF(18&lt;=Tenure,O19,"")</f>
        <v/>
      </c>
      <c r="F20" s="49">
        <f>IF(18&lt;=Tenure,E20*D20*(AnnualRate/100),"")</f>
        <v/>
      </c>
      <c r="G20" s="49">
        <f>IF(18&lt;=Tenure,IF(18=Tenure,E20,EMI-F20),"")</f>
        <v/>
      </c>
      <c r="H20" s="60">
        <f>IF(18&lt;=Tenure,IFERROR(SUMIFS(Payments!$C:$C,Payments!$B:$B,A20),0),"")</f>
        <v/>
      </c>
      <c r="I20" s="64">
        <f>IF(18&lt;=Tenure,IFERROR(AGGREGATE(15,6,Payments!$A$3:$A$200/(Payments!$B$3:$B$200=A20),1),""),"")</f>
        <v/>
      </c>
      <c r="J20" s="49">
        <f>IF(18&lt;=Tenure,IF(H20=0,0,IF(AND(I20&lt;&gt;"",I20&lt;&gt;0,I20&lt;C20),MIN(F20,MAX(0,H20-K20)-IFERROR(MIN(MAX(0,(MAX(0,H20-K20)-F20)/(1-MAX(0,C20-I20)*(AnnualRate/100))),E20,MAX(0,H20-K20)),0)),MIN(F20,MAX(0,H20-K20)))),"")</f>
        <v/>
      </c>
      <c r="K20" s="60">
        <f>IF(18&lt;=Tenure,IF(H20=0,0,MIN(E20,MAX(0,MAX(0,H20-K20)-L20))),"")</f>
        <v/>
      </c>
      <c r="L20" s="49">
        <f>IF(18&lt;=Tenure,MAX(0,F20+G20+J20-K20-L20-M20),"")</f>
        <v/>
      </c>
      <c r="M20" s="49">
        <f>IF(18&lt;=Tenure,IF(18=Tenure,0,MAX(0,E20-M20)),"")</f>
        <v/>
      </c>
      <c r="N20" s="19">
        <f>IF(18&gt;Tenure,"",IF(AND(H20&gt;0,H20&gt;=F20+G20+J20),"Paid",IF(AND(H20&gt;0,H20&lt;F20+G20),"Partial",IF(AND(H20=0,TODAY()&gt;C20),"Overdue","Pending"))))</f>
        <v/>
      </c>
      <c r="O20" s="61" t="n"/>
      <c r="P20" s="61" t="n"/>
      <c r="Q20" s="61" t="n"/>
      <c r="R20" s="62" t="n"/>
      <c r="S20" s="62" t="n"/>
    </row>
    <row r="21">
      <c r="A21" s="63">
        <f>IF(19&lt;=Tenure,19,"")</f>
        <v/>
      </c>
      <c r="B21" s="64">
        <f>IF(19&lt;=Tenure,C20,"")</f>
        <v/>
      </c>
      <c r="C21" s="65">
        <f>IF(19&lt;=Tenure,WORKDAY.INTL(EDATE(FirstPayDate,18)-1,1,1,ArmenianHolidays),"")</f>
        <v/>
      </c>
      <c r="D21" s="66">
        <f>IF(19&lt;=Tenure,IF(19=Tenure,C21-C20+1,C21-C20),"")</f>
        <v/>
      </c>
      <c r="E21" s="60">
        <f>IF(19&lt;=Tenure,O20,"")</f>
        <v/>
      </c>
      <c r="F21" s="49">
        <f>IF(19&lt;=Tenure,E21*D21*(AnnualRate/100),"")</f>
        <v/>
      </c>
      <c r="G21" s="49">
        <f>IF(19&lt;=Tenure,IF(19=Tenure,E21,EMI-F21),"")</f>
        <v/>
      </c>
      <c r="H21" s="60">
        <f>IF(19&lt;=Tenure,IFERROR(SUMIFS(Payments!$C:$C,Payments!$B:$B,A21),0),"")</f>
        <v/>
      </c>
      <c r="I21" s="64">
        <f>IF(19&lt;=Tenure,IFERROR(AGGREGATE(15,6,Payments!$A$3:$A$200/(Payments!$B$3:$B$200=A21),1),""),"")</f>
        <v/>
      </c>
      <c r="J21" s="49">
        <f>IF(19&lt;=Tenure,IF(H21=0,0,IF(AND(I21&lt;&gt;"",I21&lt;&gt;0,I21&lt;C21),MIN(F21,MAX(0,H21-K21)-IFERROR(MIN(MAX(0,(MAX(0,H21-K21)-F21)/(1-MAX(0,C21-I21)*(AnnualRate/100))),E21,MAX(0,H21-K21)),0)),MIN(F21,MAX(0,H21-K21)))),"")</f>
        <v/>
      </c>
      <c r="K21" s="60">
        <f>IF(19&lt;=Tenure,IF(H21=0,0,MIN(E21,MAX(0,MAX(0,H21-K21)-L21))),"")</f>
        <v/>
      </c>
      <c r="L21" s="49">
        <f>IF(19&lt;=Tenure,MAX(0,F21+G21+J21-K21-L21-M21),"")</f>
        <v/>
      </c>
      <c r="M21" s="49">
        <f>IF(19&lt;=Tenure,IF(19=Tenure,0,MAX(0,E21-M21)),"")</f>
        <v/>
      </c>
      <c r="N21" s="19">
        <f>IF(19&gt;Tenure,"",IF(AND(H21&gt;0,H21&gt;=F21+G21+J21),"Paid",IF(AND(H21&gt;0,H21&lt;F21+G21),"Partial",IF(AND(H21=0,TODAY()&gt;C21),"Overdue","Pending"))))</f>
        <v/>
      </c>
      <c r="O21" s="61" t="n"/>
      <c r="P21" s="61" t="n"/>
      <c r="Q21" s="61" t="n"/>
      <c r="R21" s="62" t="n"/>
      <c r="S21" s="62" t="n"/>
    </row>
    <row r="22">
      <c r="A22" s="63">
        <f>IF(20&lt;=Tenure,20,"")</f>
        <v/>
      </c>
      <c r="B22" s="64">
        <f>IF(20&lt;=Tenure,C21,"")</f>
        <v/>
      </c>
      <c r="C22" s="65">
        <f>IF(20&lt;=Tenure,WORKDAY.INTL(EDATE(FirstPayDate,19)-1,1,1,ArmenianHolidays),"")</f>
        <v/>
      </c>
      <c r="D22" s="66">
        <f>IF(20&lt;=Tenure,IF(20=Tenure,C22-C21+1,C22-C21),"")</f>
        <v/>
      </c>
      <c r="E22" s="60">
        <f>IF(20&lt;=Tenure,O21,"")</f>
        <v/>
      </c>
      <c r="F22" s="49">
        <f>IF(20&lt;=Tenure,E22*D22*(AnnualRate/100),"")</f>
        <v/>
      </c>
      <c r="G22" s="49">
        <f>IF(20&lt;=Tenure,IF(20=Tenure,E22,EMI-F22),"")</f>
        <v/>
      </c>
      <c r="H22" s="60">
        <f>IF(20&lt;=Tenure,IFERROR(SUMIFS(Payments!$C:$C,Payments!$B:$B,A22),0),"")</f>
        <v/>
      </c>
      <c r="I22" s="64">
        <f>IF(20&lt;=Tenure,IFERROR(AGGREGATE(15,6,Payments!$A$3:$A$200/(Payments!$B$3:$B$200=A22),1),""),"")</f>
        <v/>
      </c>
      <c r="J22" s="49">
        <f>IF(20&lt;=Tenure,IF(H22=0,0,IF(AND(I22&lt;&gt;"",I22&lt;&gt;0,I22&lt;C22),MIN(F22,MAX(0,H22-K22)-IFERROR(MIN(MAX(0,(MAX(0,H22-K22)-F22)/(1-MAX(0,C22-I22)*(AnnualRate/100))),E22,MAX(0,H22-K22)),0)),MIN(F22,MAX(0,H22-K22)))),"")</f>
        <v/>
      </c>
      <c r="K22" s="60">
        <f>IF(20&lt;=Tenure,IF(H22=0,0,MIN(E22,MAX(0,MAX(0,H22-K22)-L22))),"")</f>
        <v/>
      </c>
      <c r="L22" s="49">
        <f>IF(20&lt;=Tenure,MAX(0,F22+G22+J22-K22-L22-M22),"")</f>
        <v/>
      </c>
      <c r="M22" s="49">
        <f>IF(20&lt;=Tenure,IF(20=Tenure,0,MAX(0,E22-M22)),"")</f>
        <v/>
      </c>
      <c r="N22" s="19">
        <f>IF(20&gt;Tenure,"",IF(AND(H22&gt;0,H22&gt;=F22+G22+J22),"Paid",IF(AND(H22&gt;0,H22&lt;F22+G22),"Partial",IF(AND(H22=0,TODAY()&gt;C22),"Overdue","Pending"))))</f>
        <v/>
      </c>
      <c r="O22" s="61" t="n"/>
      <c r="P22" s="61" t="n"/>
      <c r="Q22" s="61" t="n"/>
      <c r="R22" s="62" t="n"/>
      <c r="S22" s="62" t="n"/>
    </row>
    <row r="23">
      <c r="A23" s="63">
        <f>IF(21&lt;=Tenure,21,"")</f>
        <v/>
      </c>
      <c r="B23" s="64">
        <f>IF(21&lt;=Tenure,C22,"")</f>
        <v/>
      </c>
      <c r="C23" s="65">
        <f>IF(21&lt;=Tenure,WORKDAY.INTL(EDATE(FirstPayDate,20)-1,1,1,ArmenianHolidays),"")</f>
        <v/>
      </c>
      <c r="D23" s="66">
        <f>IF(21&lt;=Tenure,IF(21=Tenure,C23-C22+1,C23-C22),"")</f>
        <v/>
      </c>
      <c r="E23" s="60">
        <f>IF(21&lt;=Tenure,O22,"")</f>
        <v/>
      </c>
      <c r="F23" s="49">
        <f>IF(21&lt;=Tenure,E23*D23*(AnnualRate/100),"")</f>
        <v/>
      </c>
      <c r="G23" s="49">
        <f>IF(21&lt;=Tenure,IF(21=Tenure,E23,EMI-F23),"")</f>
        <v/>
      </c>
      <c r="H23" s="60">
        <f>IF(21&lt;=Tenure,IFERROR(SUMIFS(Payments!$C:$C,Payments!$B:$B,A23),0),"")</f>
        <v/>
      </c>
      <c r="I23" s="64">
        <f>IF(21&lt;=Tenure,IFERROR(AGGREGATE(15,6,Payments!$A$3:$A$200/(Payments!$B$3:$B$200=A23),1),""),"")</f>
        <v/>
      </c>
      <c r="J23" s="49">
        <f>IF(21&lt;=Tenure,IF(H23=0,0,IF(AND(I23&lt;&gt;"",I23&lt;&gt;0,I23&lt;C23),MIN(F23,MAX(0,H23-K23)-IFERROR(MIN(MAX(0,(MAX(0,H23-K23)-F23)/(1-MAX(0,C23-I23)*(AnnualRate/100))),E23,MAX(0,H23-K23)),0)),MIN(F23,MAX(0,H23-K23)))),"")</f>
        <v/>
      </c>
      <c r="K23" s="60">
        <f>IF(21&lt;=Tenure,IF(H23=0,0,MIN(E23,MAX(0,MAX(0,H23-K23)-L23))),"")</f>
        <v/>
      </c>
      <c r="L23" s="49">
        <f>IF(21&lt;=Tenure,MAX(0,F23+G23+J23-K23-L23-M23),"")</f>
        <v/>
      </c>
      <c r="M23" s="49">
        <f>IF(21&lt;=Tenure,IF(21=Tenure,0,MAX(0,E23-M23)),"")</f>
        <v/>
      </c>
      <c r="N23" s="19">
        <f>IF(21&gt;Tenure,"",IF(AND(H23&gt;0,H23&gt;=F23+G23+J23),"Paid",IF(AND(H23&gt;0,H23&lt;F23+G23),"Partial",IF(AND(H23=0,TODAY()&gt;C23),"Overdue","Pending"))))</f>
        <v/>
      </c>
      <c r="O23" s="61" t="n"/>
      <c r="P23" s="61" t="n"/>
      <c r="Q23" s="61" t="n"/>
      <c r="R23" s="62" t="n"/>
      <c r="S23" s="62" t="n"/>
    </row>
    <row r="24">
      <c r="A24" s="63">
        <f>IF(22&lt;=Tenure,22,"")</f>
        <v/>
      </c>
      <c r="B24" s="64">
        <f>IF(22&lt;=Tenure,C23,"")</f>
        <v/>
      </c>
      <c r="C24" s="65">
        <f>IF(22&lt;=Tenure,WORKDAY.INTL(EDATE(FirstPayDate,21)-1,1,1,ArmenianHolidays),"")</f>
        <v/>
      </c>
      <c r="D24" s="66">
        <f>IF(22&lt;=Tenure,IF(22=Tenure,C24-C23+1,C24-C23),"")</f>
        <v/>
      </c>
      <c r="E24" s="60">
        <f>IF(22&lt;=Tenure,O23,"")</f>
        <v/>
      </c>
      <c r="F24" s="49">
        <f>IF(22&lt;=Tenure,E24*D24*(AnnualRate/100),"")</f>
        <v/>
      </c>
      <c r="G24" s="49">
        <f>IF(22&lt;=Tenure,IF(22=Tenure,E24,EMI-F24),"")</f>
        <v/>
      </c>
      <c r="H24" s="60">
        <f>IF(22&lt;=Tenure,IFERROR(SUMIFS(Payments!$C:$C,Payments!$B:$B,A24),0),"")</f>
        <v/>
      </c>
      <c r="I24" s="64">
        <f>IF(22&lt;=Tenure,IFERROR(AGGREGATE(15,6,Payments!$A$3:$A$200/(Payments!$B$3:$B$200=A24),1),""),"")</f>
        <v/>
      </c>
      <c r="J24" s="49">
        <f>IF(22&lt;=Tenure,IF(H24=0,0,IF(AND(I24&lt;&gt;"",I24&lt;&gt;0,I24&lt;C24),MIN(F24,MAX(0,H24-K24)-IFERROR(MIN(MAX(0,(MAX(0,H24-K24)-F24)/(1-MAX(0,C24-I24)*(AnnualRate/100))),E24,MAX(0,H24-K24)),0)),MIN(F24,MAX(0,H24-K24)))),"")</f>
        <v/>
      </c>
      <c r="K24" s="60">
        <f>IF(22&lt;=Tenure,IF(H24=0,0,MIN(E24,MAX(0,MAX(0,H24-K24)-L24))),"")</f>
        <v/>
      </c>
      <c r="L24" s="49">
        <f>IF(22&lt;=Tenure,MAX(0,F24+G24+J24-K24-L24-M24),"")</f>
        <v/>
      </c>
      <c r="M24" s="49">
        <f>IF(22&lt;=Tenure,IF(22=Tenure,0,MAX(0,E24-M24)),"")</f>
        <v/>
      </c>
      <c r="N24" s="19">
        <f>IF(22&gt;Tenure,"",IF(AND(H24&gt;0,H24&gt;=F24+G24+J24),"Paid",IF(AND(H24&gt;0,H24&lt;F24+G24),"Partial",IF(AND(H24=0,TODAY()&gt;C24),"Overdue","Pending"))))</f>
        <v/>
      </c>
      <c r="O24" s="61" t="n"/>
      <c r="P24" s="61" t="n"/>
      <c r="Q24" s="61" t="n"/>
      <c r="R24" s="62" t="n"/>
      <c r="S24" s="62" t="n"/>
    </row>
    <row r="25">
      <c r="A25" s="63">
        <f>IF(23&lt;=Tenure,23,"")</f>
        <v/>
      </c>
      <c r="B25" s="64">
        <f>IF(23&lt;=Tenure,C24,"")</f>
        <v/>
      </c>
      <c r="C25" s="65">
        <f>IF(23&lt;=Tenure,WORKDAY.INTL(EDATE(FirstPayDate,22)-1,1,1,ArmenianHolidays),"")</f>
        <v/>
      </c>
      <c r="D25" s="66">
        <f>IF(23&lt;=Tenure,IF(23=Tenure,C25-C24+1,C25-C24),"")</f>
        <v/>
      </c>
      <c r="E25" s="60">
        <f>IF(23&lt;=Tenure,O24,"")</f>
        <v/>
      </c>
      <c r="F25" s="49">
        <f>IF(23&lt;=Tenure,E25*D25*(AnnualRate/100),"")</f>
        <v/>
      </c>
      <c r="G25" s="49">
        <f>IF(23&lt;=Tenure,IF(23=Tenure,E25,EMI-F25),"")</f>
        <v/>
      </c>
      <c r="H25" s="60">
        <f>IF(23&lt;=Tenure,IFERROR(SUMIFS(Payments!$C:$C,Payments!$B:$B,A25),0),"")</f>
        <v/>
      </c>
      <c r="I25" s="64">
        <f>IF(23&lt;=Tenure,IFERROR(AGGREGATE(15,6,Payments!$A$3:$A$200/(Payments!$B$3:$B$200=A25),1),""),"")</f>
        <v/>
      </c>
      <c r="J25" s="49">
        <f>IF(23&lt;=Tenure,IF(H25=0,0,IF(AND(I25&lt;&gt;"",I25&lt;&gt;0,I25&lt;C25),MIN(F25,MAX(0,H25-K25)-IFERROR(MIN(MAX(0,(MAX(0,H25-K25)-F25)/(1-MAX(0,C25-I25)*(AnnualRate/100))),E25,MAX(0,H25-K25)),0)),MIN(F25,MAX(0,H25-K25)))),"")</f>
        <v/>
      </c>
      <c r="K25" s="60">
        <f>IF(23&lt;=Tenure,IF(H25=0,0,MIN(E25,MAX(0,MAX(0,H25-K25)-L25))),"")</f>
        <v/>
      </c>
      <c r="L25" s="49">
        <f>IF(23&lt;=Tenure,MAX(0,F25+G25+J25-K25-L25-M25),"")</f>
        <v/>
      </c>
      <c r="M25" s="49">
        <f>IF(23&lt;=Tenure,IF(23=Tenure,0,MAX(0,E25-M25)),"")</f>
        <v/>
      </c>
      <c r="N25" s="19">
        <f>IF(23&gt;Tenure,"",IF(AND(H25&gt;0,H25&gt;=F25+G25+J25),"Paid",IF(AND(H25&gt;0,H25&lt;F25+G25),"Partial",IF(AND(H25=0,TODAY()&gt;C25),"Overdue","Pending"))))</f>
        <v/>
      </c>
      <c r="O25" s="61" t="n"/>
      <c r="P25" s="61" t="n"/>
      <c r="Q25" s="61" t="n"/>
      <c r="R25" s="62" t="n"/>
      <c r="S25" s="62" t="n"/>
    </row>
    <row r="26">
      <c r="A26" s="63">
        <f>IF(24&lt;=Tenure,24,"")</f>
        <v/>
      </c>
      <c r="B26" s="64">
        <f>IF(24&lt;=Tenure,C25,"")</f>
        <v/>
      </c>
      <c r="C26" s="65">
        <f>IF(24&lt;=Tenure,WORKDAY.INTL(EDATE(FirstPayDate,23)-1,1,1,ArmenianHolidays),"")</f>
        <v/>
      </c>
      <c r="D26" s="66">
        <f>IF(24&lt;=Tenure,IF(24=Tenure,C26-C25+1,C26-C25),"")</f>
        <v/>
      </c>
      <c r="E26" s="60">
        <f>IF(24&lt;=Tenure,O25,"")</f>
        <v/>
      </c>
      <c r="F26" s="49">
        <f>IF(24&lt;=Tenure,E26*D26*(AnnualRate/100),"")</f>
        <v/>
      </c>
      <c r="G26" s="49">
        <f>IF(24&lt;=Tenure,IF(24=Tenure,E26,EMI-F26),"")</f>
        <v/>
      </c>
      <c r="H26" s="60">
        <f>IF(24&lt;=Tenure,IFERROR(SUMIFS(Payments!$C:$C,Payments!$B:$B,A26),0),"")</f>
        <v/>
      </c>
      <c r="I26" s="64">
        <f>IF(24&lt;=Tenure,IFERROR(AGGREGATE(15,6,Payments!$A$3:$A$200/(Payments!$B$3:$B$200=A26),1),""),"")</f>
        <v/>
      </c>
      <c r="J26" s="49">
        <f>IF(24&lt;=Tenure,IF(H26=0,0,IF(AND(I26&lt;&gt;"",I26&lt;&gt;0,I26&lt;C26),MIN(F26,MAX(0,H26-K26)-IFERROR(MIN(MAX(0,(MAX(0,H26-K26)-F26)/(1-MAX(0,C26-I26)*(AnnualRate/100))),E26,MAX(0,H26-K26)),0)),MIN(F26,MAX(0,H26-K26)))),"")</f>
        <v/>
      </c>
      <c r="K26" s="60">
        <f>IF(24&lt;=Tenure,IF(H26=0,0,MIN(E26,MAX(0,MAX(0,H26-K26)-L26))),"")</f>
        <v/>
      </c>
      <c r="L26" s="49">
        <f>IF(24&lt;=Tenure,MAX(0,F26+G26+J26-K26-L26-M26),"")</f>
        <v/>
      </c>
      <c r="M26" s="49">
        <f>IF(24&lt;=Tenure,IF(24=Tenure,0,MAX(0,E26-M26)),"")</f>
        <v/>
      </c>
      <c r="N26" s="19">
        <f>IF(24&gt;Tenure,"",IF(AND(H26&gt;0,H26&gt;=F26+G26+J26),"Paid",IF(AND(H26&gt;0,H26&lt;F26+G26),"Partial",IF(AND(H26=0,TODAY()&gt;C26),"Overdue","Pending"))))</f>
        <v/>
      </c>
      <c r="O26" s="61" t="n"/>
      <c r="P26" s="61" t="n"/>
      <c r="Q26" s="61" t="n"/>
      <c r="R26" s="62" t="n"/>
      <c r="S26" s="62" t="n"/>
    </row>
    <row r="27">
      <c r="A27" s="63">
        <f>IF(25&lt;=Tenure,25,"")</f>
        <v/>
      </c>
      <c r="B27" s="64">
        <f>IF(25&lt;=Tenure,C26,"")</f>
        <v/>
      </c>
      <c r="C27" s="65">
        <f>IF(25&lt;=Tenure,WORKDAY.INTL(EDATE(FirstPayDate,24)-1,1,1,ArmenianHolidays),"")</f>
        <v/>
      </c>
      <c r="D27" s="66">
        <f>IF(25&lt;=Tenure,IF(25=Tenure,C27-C26+1,C27-C26),"")</f>
        <v/>
      </c>
      <c r="E27" s="60">
        <f>IF(25&lt;=Tenure,O26,"")</f>
        <v/>
      </c>
      <c r="F27" s="49">
        <f>IF(25&lt;=Tenure,E27*D27*(AnnualRate/100),"")</f>
        <v/>
      </c>
      <c r="G27" s="49">
        <f>IF(25&lt;=Tenure,IF(25=Tenure,E27,EMI-F27),"")</f>
        <v/>
      </c>
      <c r="H27" s="60">
        <f>IF(25&lt;=Tenure,IFERROR(SUMIFS(Payments!$C:$C,Payments!$B:$B,A27),0),"")</f>
        <v/>
      </c>
      <c r="I27" s="64">
        <f>IF(25&lt;=Tenure,IFERROR(AGGREGATE(15,6,Payments!$A$3:$A$200/(Payments!$B$3:$B$200=A27),1),""),"")</f>
        <v/>
      </c>
      <c r="J27" s="49">
        <f>IF(25&lt;=Tenure,IF(H27=0,0,IF(AND(I27&lt;&gt;"",I27&lt;&gt;0,I27&lt;C27),MIN(F27,MAX(0,H27-K27)-IFERROR(MIN(MAX(0,(MAX(0,H27-K27)-F27)/(1-MAX(0,C27-I27)*(AnnualRate/100))),E27,MAX(0,H27-K27)),0)),MIN(F27,MAX(0,H27-K27)))),"")</f>
        <v/>
      </c>
      <c r="K27" s="60">
        <f>IF(25&lt;=Tenure,IF(H27=0,0,MIN(E27,MAX(0,MAX(0,H27-K27)-L27))),"")</f>
        <v/>
      </c>
      <c r="L27" s="49">
        <f>IF(25&lt;=Tenure,MAX(0,F27+G27+J27-K27-L27-M27),"")</f>
        <v/>
      </c>
      <c r="M27" s="49">
        <f>IF(25&lt;=Tenure,IF(25=Tenure,0,MAX(0,E27-M27)),"")</f>
        <v/>
      </c>
      <c r="N27" s="19">
        <f>IF(25&gt;Tenure,"",IF(AND(H27&gt;0,H27&gt;=F27+G27+J27),"Paid",IF(AND(H27&gt;0,H27&lt;F27+G27),"Partial",IF(AND(H27=0,TODAY()&gt;C27),"Overdue","Pending"))))</f>
        <v/>
      </c>
      <c r="O27" s="61" t="n"/>
      <c r="P27" s="61" t="n"/>
      <c r="Q27" s="61" t="n"/>
      <c r="R27" s="62" t="n"/>
      <c r="S27" s="62" t="n"/>
    </row>
    <row r="28">
      <c r="A28" s="63">
        <f>IF(26&lt;=Tenure,26,"")</f>
        <v/>
      </c>
      <c r="B28" s="64">
        <f>IF(26&lt;=Tenure,C27,"")</f>
        <v/>
      </c>
      <c r="C28" s="65">
        <f>IF(26&lt;=Tenure,WORKDAY.INTL(EDATE(FirstPayDate,25)-1,1,1,ArmenianHolidays),"")</f>
        <v/>
      </c>
      <c r="D28" s="66">
        <f>IF(26&lt;=Tenure,IF(26=Tenure,C28-C27+1,C28-C27),"")</f>
        <v/>
      </c>
      <c r="E28" s="60">
        <f>IF(26&lt;=Tenure,O27,"")</f>
        <v/>
      </c>
      <c r="F28" s="49">
        <f>IF(26&lt;=Tenure,E28*D28*(AnnualRate/100),"")</f>
        <v/>
      </c>
      <c r="G28" s="49">
        <f>IF(26&lt;=Tenure,IF(26=Tenure,E28,EMI-F28),"")</f>
        <v/>
      </c>
      <c r="H28" s="60">
        <f>IF(26&lt;=Tenure,IFERROR(SUMIFS(Payments!$C:$C,Payments!$B:$B,A28),0),"")</f>
        <v/>
      </c>
      <c r="I28" s="64">
        <f>IF(26&lt;=Tenure,IFERROR(AGGREGATE(15,6,Payments!$A$3:$A$200/(Payments!$B$3:$B$200=A28),1),""),"")</f>
        <v/>
      </c>
      <c r="J28" s="49">
        <f>IF(26&lt;=Tenure,IF(H28=0,0,IF(AND(I28&lt;&gt;"",I28&lt;&gt;0,I28&lt;C28),MIN(F28,MAX(0,H28-K28)-IFERROR(MIN(MAX(0,(MAX(0,H28-K28)-F28)/(1-MAX(0,C28-I28)*(AnnualRate/100))),E28,MAX(0,H28-K28)),0)),MIN(F28,MAX(0,H28-K28)))),"")</f>
        <v/>
      </c>
      <c r="K28" s="60">
        <f>IF(26&lt;=Tenure,IF(H28=0,0,MIN(E28,MAX(0,MAX(0,H28-K28)-L28))),"")</f>
        <v/>
      </c>
      <c r="L28" s="49">
        <f>IF(26&lt;=Tenure,MAX(0,F28+G28+J28-K28-L28-M28),"")</f>
        <v/>
      </c>
      <c r="M28" s="49">
        <f>IF(26&lt;=Tenure,IF(26=Tenure,0,MAX(0,E28-M28)),"")</f>
        <v/>
      </c>
      <c r="N28" s="19">
        <f>IF(26&gt;Tenure,"",IF(AND(H28&gt;0,H28&gt;=F28+G28+J28),"Paid",IF(AND(H28&gt;0,H28&lt;F28+G28),"Partial",IF(AND(H28=0,TODAY()&gt;C28),"Overdue","Pending"))))</f>
        <v/>
      </c>
      <c r="O28" s="61" t="n"/>
      <c r="P28" s="61" t="n"/>
      <c r="Q28" s="61" t="n"/>
      <c r="R28" s="62" t="n"/>
      <c r="S28" s="62" t="n"/>
    </row>
    <row r="29">
      <c r="A29" s="63">
        <f>IF(27&lt;=Tenure,27,"")</f>
        <v/>
      </c>
      <c r="B29" s="64">
        <f>IF(27&lt;=Tenure,C28,"")</f>
        <v/>
      </c>
      <c r="C29" s="65">
        <f>IF(27&lt;=Tenure,WORKDAY.INTL(EDATE(FirstPayDate,26)-1,1,1,ArmenianHolidays),"")</f>
        <v/>
      </c>
      <c r="D29" s="66">
        <f>IF(27&lt;=Tenure,IF(27=Tenure,C29-C28+1,C29-C28),"")</f>
        <v/>
      </c>
      <c r="E29" s="60">
        <f>IF(27&lt;=Tenure,O28,"")</f>
        <v/>
      </c>
      <c r="F29" s="49">
        <f>IF(27&lt;=Tenure,E29*D29*(AnnualRate/100),"")</f>
        <v/>
      </c>
      <c r="G29" s="49">
        <f>IF(27&lt;=Tenure,IF(27=Tenure,E29,EMI-F29),"")</f>
        <v/>
      </c>
      <c r="H29" s="60">
        <f>IF(27&lt;=Tenure,IFERROR(SUMIFS(Payments!$C:$C,Payments!$B:$B,A29),0),"")</f>
        <v/>
      </c>
      <c r="I29" s="64">
        <f>IF(27&lt;=Tenure,IFERROR(AGGREGATE(15,6,Payments!$A$3:$A$200/(Payments!$B$3:$B$200=A29),1),""),"")</f>
        <v/>
      </c>
      <c r="J29" s="49">
        <f>IF(27&lt;=Tenure,IF(H29=0,0,IF(AND(I29&lt;&gt;"",I29&lt;&gt;0,I29&lt;C29),MIN(F29,MAX(0,H29-K29)-IFERROR(MIN(MAX(0,(MAX(0,H29-K29)-F29)/(1-MAX(0,C29-I29)*(AnnualRate/100))),E29,MAX(0,H29-K29)),0)),MIN(F29,MAX(0,H29-K29)))),"")</f>
        <v/>
      </c>
      <c r="K29" s="60">
        <f>IF(27&lt;=Tenure,IF(H29=0,0,MIN(E29,MAX(0,MAX(0,H29-K29)-L29))),"")</f>
        <v/>
      </c>
      <c r="L29" s="49">
        <f>IF(27&lt;=Tenure,MAX(0,F29+G29+J29-K29-L29-M29),"")</f>
        <v/>
      </c>
      <c r="M29" s="49">
        <f>IF(27&lt;=Tenure,IF(27=Tenure,0,MAX(0,E29-M29)),"")</f>
        <v/>
      </c>
      <c r="N29" s="19">
        <f>IF(27&gt;Tenure,"",IF(AND(H29&gt;0,H29&gt;=F29+G29+J29),"Paid",IF(AND(H29&gt;0,H29&lt;F29+G29),"Partial",IF(AND(H29=0,TODAY()&gt;C29),"Overdue","Pending"))))</f>
        <v/>
      </c>
      <c r="O29" s="61" t="n"/>
      <c r="P29" s="61" t="n"/>
      <c r="Q29" s="61" t="n"/>
      <c r="R29" s="62" t="n"/>
      <c r="S29" s="62" t="n"/>
    </row>
    <row r="30">
      <c r="A30" s="63">
        <f>IF(28&lt;=Tenure,28,"")</f>
        <v/>
      </c>
      <c r="B30" s="64">
        <f>IF(28&lt;=Tenure,C29,"")</f>
        <v/>
      </c>
      <c r="C30" s="65">
        <f>IF(28&lt;=Tenure,WORKDAY.INTL(EDATE(FirstPayDate,27)-1,1,1,ArmenianHolidays),"")</f>
        <v/>
      </c>
      <c r="D30" s="66">
        <f>IF(28&lt;=Tenure,IF(28=Tenure,C30-C29+1,C30-C29),"")</f>
        <v/>
      </c>
      <c r="E30" s="60">
        <f>IF(28&lt;=Tenure,O29,"")</f>
        <v/>
      </c>
      <c r="F30" s="49">
        <f>IF(28&lt;=Tenure,E30*D30*(AnnualRate/100),"")</f>
        <v/>
      </c>
      <c r="G30" s="49">
        <f>IF(28&lt;=Tenure,IF(28=Tenure,E30,EMI-F30),"")</f>
        <v/>
      </c>
      <c r="H30" s="60">
        <f>IF(28&lt;=Tenure,IFERROR(SUMIFS(Payments!$C:$C,Payments!$B:$B,A30),0),"")</f>
        <v/>
      </c>
      <c r="I30" s="64">
        <f>IF(28&lt;=Tenure,IFERROR(AGGREGATE(15,6,Payments!$A$3:$A$200/(Payments!$B$3:$B$200=A30),1),""),"")</f>
        <v/>
      </c>
      <c r="J30" s="49">
        <f>IF(28&lt;=Tenure,IF(H30=0,0,IF(AND(I30&lt;&gt;"",I30&lt;&gt;0,I30&lt;C30),MIN(F30,MAX(0,H30-K30)-IFERROR(MIN(MAX(0,(MAX(0,H30-K30)-F30)/(1-MAX(0,C30-I30)*(AnnualRate/100))),E30,MAX(0,H30-K30)),0)),MIN(F30,MAX(0,H30-K30)))),"")</f>
        <v/>
      </c>
      <c r="K30" s="60">
        <f>IF(28&lt;=Tenure,IF(H30=0,0,MIN(E30,MAX(0,MAX(0,H30-K30)-L30))),"")</f>
        <v/>
      </c>
      <c r="L30" s="49">
        <f>IF(28&lt;=Tenure,MAX(0,F30+G30+J30-K30-L30-M30),"")</f>
        <v/>
      </c>
      <c r="M30" s="49">
        <f>IF(28&lt;=Tenure,IF(28=Tenure,0,MAX(0,E30-M30)),"")</f>
        <v/>
      </c>
      <c r="N30" s="19">
        <f>IF(28&gt;Tenure,"",IF(AND(H30&gt;0,H30&gt;=F30+G30+J30),"Paid",IF(AND(H30&gt;0,H30&lt;F30+G30),"Partial",IF(AND(H30=0,TODAY()&gt;C30),"Overdue","Pending"))))</f>
        <v/>
      </c>
      <c r="O30" s="61" t="n"/>
      <c r="P30" s="61" t="n"/>
      <c r="Q30" s="61" t="n"/>
      <c r="R30" s="62" t="n"/>
      <c r="S30" s="62" t="n"/>
    </row>
    <row r="31">
      <c r="A31" s="63">
        <f>IF(29&lt;=Tenure,29,"")</f>
        <v/>
      </c>
      <c r="B31" s="64">
        <f>IF(29&lt;=Tenure,C30,"")</f>
        <v/>
      </c>
      <c r="C31" s="65">
        <f>IF(29&lt;=Tenure,WORKDAY.INTL(EDATE(FirstPayDate,28)-1,1,1,ArmenianHolidays),"")</f>
        <v/>
      </c>
      <c r="D31" s="66">
        <f>IF(29&lt;=Tenure,IF(29=Tenure,C31-C30+1,C31-C30),"")</f>
        <v/>
      </c>
      <c r="E31" s="60">
        <f>IF(29&lt;=Tenure,O30,"")</f>
        <v/>
      </c>
      <c r="F31" s="49">
        <f>IF(29&lt;=Tenure,E31*D31*(AnnualRate/100),"")</f>
        <v/>
      </c>
      <c r="G31" s="49">
        <f>IF(29&lt;=Tenure,IF(29=Tenure,E31,EMI-F31),"")</f>
        <v/>
      </c>
      <c r="H31" s="60">
        <f>IF(29&lt;=Tenure,IFERROR(SUMIFS(Payments!$C:$C,Payments!$B:$B,A31),0),"")</f>
        <v/>
      </c>
      <c r="I31" s="64">
        <f>IF(29&lt;=Tenure,IFERROR(AGGREGATE(15,6,Payments!$A$3:$A$200/(Payments!$B$3:$B$200=A31),1),""),"")</f>
        <v/>
      </c>
      <c r="J31" s="49">
        <f>IF(29&lt;=Tenure,IF(H31=0,0,IF(AND(I31&lt;&gt;"",I31&lt;&gt;0,I31&lt;C31),MIN(F31,MAX(0,H31-K31)-IFERROR(MIN(MAX(0,(MAX(0,H31-K31)-F31)/(1-MAX(0,C31-I31)*(AnnualRate/100))),E31,MAX(0,H31-K31)),0)),MIN(F31,MAX(0,H31-K31)))),"")</f>
        <v/>
      </c>
      <c r="K31" s="60">
        <f>IF(29&lt;=Tenure,IF(H31=0,0,MIN(E31,MAX(0,MAX(0,H31-K31)-L31))),"")</f>
        <v/>
      </c>
      <c r="L31" s="49">
        <f>IF(29&lt;=Tenure,MAX(0,F31+G31+J31-K31-L31-M31),"")</f>
        <v/>
      </c>
      <c r="M31" s="49">
        <f>IF(29&lt;=Tenure,IF(29=Tenure,0,MAX(0,E31-M31)),"")</f>
        <v/>
      </c>
      <c r="N31" s="19">
        <f>IF(29&gt;Tenure,"",IF(AND(H31&gt;0,H31&gt;=F31+G31+J31),"Paid",IF(AND(H31&gt;0,H31&lt;F31+G31),"Partial",IF(AND(H31=0,TODAY()&gt;C31),"Overdue","Pending"))))</f>
        <v/>
      </c>
      <c r="O31" s="61" t="n"/>
      <c r="P31" s="61" t="n"/>
      <c r="Q31" s="61" t="n"/>
      <c r="R31" s="62" t="n"/>
      <c r="S31" s="62" t="n"/>
    </row>
    <row r="32">
      <c r="A32" s="63">
        <f>IF(30&lt;=Tenure,30,"")</f>
        <v/>
      </c>
      <c r="B32" s="64">
        <f>IF(30&lt;=Tenure,C31,"")</f>
        <v/>
      </c>
      <c r="C32" s="65">
        <f>IF(30&lt;=Tenure,WORKDAY.INTL(EDATE(FirstPayDate,29)-1,1,1,ArmenianHolidays),"")</f>
        <v/>
      </c>
      <c r="D32" s="66">
        <f>IF(30&lt;=Tenure,IF(30=Tenure,C32-C31+1,C32-C31),"")</f>
        <v/>
      </c>
      <c r="E32" s="60">
        <f>IF(30&lt;=Tenure,O31,"")</f>
        <v/>
      </c>
      <c r="F32" s="49">
        <f>IF(30&lt;=Tenure,E32*D32*(AnnualRate/100),"")</f>
        <v/>
      </c>
      <c r="G32" s="49">
        <f>IF(30&lt;=Tenure,IF(30=Tenure,E32,EMI-F32),"")</f>
        <v/>
      </c>
      <c r="H32" s="60">
        <f>IF(30&lt;=Tenure,IFERROR(SUMIFS(Payments!$C:$C,Payments!$B:$B,A32),0),"")</f>
        <v/>
      </c>
      <c r="I32" s="64">
        <f>IF(30&lt;=Tenure,IFERROR(AGGREGATE(15,6,Payments!$A$3:$A$200/(Payments!$B$3:$B$200=A32),1),""),"")</f>
        <v/>
      </c>
      <c r="J32" s="49">
        <f>IF(30&lt;=Tenure,IF(H32=0,0,IF(AND(I32&lt;&gt;"",I32&lt;&gt;0,I32&lt;C32),MIN(F32,MAX(0,H32-K32)-IFERROR(MIN(MAX(0,(MAX(0,H32-K32)-F32)/(1-MAX(0,C32-I32)*(AnnualRate/100))),E32,MAX(0,H32-K32)),0)),MIN(F32,MAX(0,H32-K32)))),"")</f>
        <v/>
      </c>
      <c r="K32" s="60">
        <f>IF(30&lt;=Tenure,IF(H32=0,0,MIN(E32,MAX(0,MAX(0,H32-K32)-L32))),"")</f>
        <v/>
      </c>
      <c r="L32" s="49">
        <f>IF(30&lt;=Tenure,MAX(0,F32+G32+J32-K32-L32-M32),"")</f>
        <v/>
      </c>
      <c r="M32" s="49">
        <f>IF(30&lt;=Tenure,IF(30=Tenure,0,MAX(0,E32-M32)),"")</f>
        <v/>
      </c>
      <c r="N32" s="19">
        <f>IF(30&gt;Tenure,"",IF(AND(H32&gt;0,H32&gt;=F32+G32+J32),"Paid",IF(AND(H32&gt;0,H32&lt;F32+G32),"Partial",IF(AND(H32=0,TODAY()&gt;C32),"Overdue","Pending"))))</f>
        <v/>
      </c>
      <c r="O32" s="61" t="n"/>
      <c r="P32" s="61" t="n"/>
      <c r="Q32" s="61" t="n"/>
      <c r="R32" s="62" t="n"/>
      <c r="S32" s="62" t="n"/>
    </row>
    <row r="33">
      <c r="A33" s="63">
        <f>IF(31&lt;=Tenure,31,"")</f>
        <v/>
      </c>
      <c r="B33" s="64">
        <f>IF(31&lt;=Tenure,C32,"")</f>
        <v/>
      </c>
      <c r="C33" s="65">
        <f>IF(31&lt;=Tenure,WORKDAY.INTL(EDATE(FirstPayDate,30)-1,1,1,ArmenianHolidays),"")</f>
        <v/>
      </c>
      <c r="D33" s="66">
        <f>IF(31&lt;=Tenure,IF(31=Tenure,C33-C32+1,C33-C32),"")</f>
        <v/>
      </c>
      <c r="E33" s="60">
        <f>IF(31&lt;=Tenure,O32,"")</f>
        <v/>
      </c>
      <c r="F33" s="49">
        <f>IF(31&lt;=Tenure,E33*D33*(AnnualRate/100),"")</f>
        <v/>
      </c>
      <c r="G33" s="49">
        <f>IF(31&lt;=Tenure,IF(31=Tenure,E33,EMI-F33),"")</f>
        <v/>
      </c>
      <c r="H33" s="60">
        <f>IF(31&lt;=Tenure,IFERROR(SUMIFS(Payments!$C:$C,Payments!$B:$B,A33),0),"")</f>
        <v/>
      </c>
      <c r="I33" s="64">
        <f>IF(31&lt;=Tenure,IFERROR(AGGREGATE(15,6,Payments!$A$3:$A$200/(Payments!$B$3:$B$200=A33),1),""),"")</f>
        <v/>
      </c>
      <c r="J33" s="49">
        <f>IF(31&lt;=Tenure,IF(H33=0,0,IF(AND(I33&lt;&gt;"",I33&lt;&gt;0,I33&lt;C33),MIN(F33,MAX(0,H33-K33)-IFERROR(MIN(MAX(0,(MAX(0,H33-K33)-F33)/(1-MAX(0,C33-I33)*(AnnualRate/100))),E33,MAX(0,H33-K33)),0)),MIN(F33,MAX(0,H33-K33)))),"")</f>
        <v/>
      </c>
      <c r="K33" s="60">
        <f>IF(31&lt;=Tenure,IF(H33=0,0,MIN(E33,MAX(0,MAX(0,H33-K33)-L33))),"")</f>
        <v/>
      </c>
      <c r="L33" s="49">
        <f>IF(31&lt;=Tenure,MAX(0,F33+G33+J33-K33-L33-M33),"")</f>
        <v/>
      </c>
      <c r="M33" s="49">
        <f>IF(31&lt;=Tenure,IF(31=Tenure,0,MAX(0,E33-M33)),"")</f>
        <v/>
      </c>
      <c r="N33" s="19">
        <f>IF(31&gt;Tenure,"",IF(AND(H33&gt;0,H33&gt;=F33+G33+J33),"Paid",IF(AND(H33&gt;0,H33&lt;F33+G33),"Partial",IF(AND(H33=0,TODAY()&gt;C33),"Overdue","Pending"))))</f>
        <v/>
      </c>
      <c r="O33" s="61" t="n"/>
      <c r="P33" s="61" t="n"/>
      <c r="Q33" s="61" t="n"/>
      <c r="R33" s="62" t="n"/>
      <c r="S33" s="62" t="n"/>
    </row>
    <row r="34">
      <c r="A34" s="63">
        <f>IF(32&lt;=Tenure,32,"")</f>
        <v/>
      </c>
      <c r="B34" s="64">
        <f>IF(32&lt;=Tenure,C33,"")</f>
        <v/>
      </c>
      <c r="C34" s="65">
        <f>IF(32&lt;=Tenure,WORKDAY.INTL(EDATE(FirstPayDate,31)-1,1,1,ArmenianHolidays),"")</f>
        <v/>
      </c>
      <c r="D34" s="66">
        <f>IF(32&lt;=Tenure,IF(32=Tenure,C34-C33+1,C34-C33),"")</f>
        <v/>
      </c>
      <c r="E34" s="60">
        <f>IF(32&lt;=Tenure,O33,"")</f>
        <v/>
      </c>
      <c r="F34" s="49">
        <f>IF(32&lt;=Tenure,E34*D34*(AnnualRate/100),"")</f>
        <v/>
      </c>
      <c r="G34" s="49">
        <f>IF(32&lt;=Tenure,IF(32=Tenure,E34,EMI-F34),"")</f>
        <v/>
      </c>
      <c r="H34" s="60">
        <f>IF(32&lt;=Tenure,IFERROR(SUMIFS(Payments!$C:$C,Payments!$B:$B,A34),0),"")</f>
        <v/>
      </c>
      <c r="I34" s="64">
        <f>IF(32&lt;=Tenure,IFERROR(AGGREGATE(15,6,Payments!$A$3:$A$200/(Payments!$B$3:$B$200=A34),1),""),"")</f>
        <v/>
      </c>
      <c r="J34" s="49">
        <f>IF(32&lt;=Tenure,IF(H34=0,0,IF(AND(I34&lt;&gt;"",I34&lt;&gt;0,I34&lt;C34),MIN(F34,MAX(0,H34-K34)-IFERROR(MIN(MAX(0,(MAX(0,H34-K34)-F34)/(1-MAX(0,C34-I34)*(AnnualRate/100))),E34,MAX(0,H34-K34)),0)),MIN(F34,MAX(0,H34-K34)))),"")</f>
        <v/>
      </c>
      <c r="K34" s="60">
        <f>IF(32&lt;=Tenure,IF(H34=0,0,MIN(E34,MAX(0,MAX(0,H34-K34)-L34))),"")</f>
        <v/>
      </c>
      <c r="L34" s="49">
        <f>IF(32&lt;=Tenure,MAX(0,F34+G34+J34-K34-L34-M34),"")</f>
        <v/>
      </c>
      <c r="M34" s="49">
        <f>IF(32&lt;=Tenure,IF(32=Tenure,0,MAX(0,E34-M34)),"")</f>
        <v/>
      </c>
      <c r="N34" s="19">
        <f>IF(32&gt;Tenure,"",IF(AND(H34&gt;0,H34&gt;=F34+G34+J34),"Paid",IF(AND(H34&gt;0,H34&lt;F34+G34),"Partial",IF(AND(H34=0,TODAY()&gt;C34),"Overdue","Pending"))))</f>
        <v/>
      </c>
      <c r="O34" s="61" t="n"/>
      <c r="P34" s="61" t="n"/>
      <c r="Q34" s="61" t="n"/>
      <c r="R34" s="62" t="n"/>
      <c r="S34" s="62" t="n"/>
    </row>
    <row r="35">
      <c r="A35" s="63">
        <f>IF(33&lt;=Tenure,33,"")</f>
        <v/>
      </c>
      <c r="B35" s="64">
        <f>IF(33&lt;=Tenure,C34,"")</f>
        <v/>
      </c>
      <c r="C35" s="65">
        <f>IF(33&lt;=Tenure,WORKDAY.INTL(EDATE(FirstPayDate,32)-1,1,1,ArmenianHolidays),"")</f>
        <v/>
      </c>
      <c r="D35" s="66">
        <f>IF(33&lt;=Tenure,IF(33=Tenure,C35-C34+1,C35-C34),"")</f>
        <v/>
      </c>
      <c r="E35" s="60">
        <f>IF(33&lt;=Tenure,O34,"")</f>
        <v/>
      </c>
      <c r="F35" s="49">
        <f>IF(33&lt;=Tenure,E35*D35*(AnnualRate/100),"")</f>
        <v/>
      </c>
      <c r="G35" s="49">
        <f>IF(33&lt;=Tenure,IF(33=Tenure,E35,EMI-F35),"")</f>
        <v/>
      </c>
      <c r="H35" s="60">
        <f>IF(33&lt;=Tenure,IFERROR(SUMIFS(Payments!$C:$C,Payments!$B:$B,A35),0),"")</f>
        <v/>
      </c>
      <c r="I35" s="64">
        <f>IF(33&lt;=Tenure,IFERROR(AGGREGATE(15,6,Payments!$A$3:$A$200/(Payments!$B$3:$B$200=A35),1),""),"")</f>
        <v/>
      </c>
      <c r="J35" s="49">
        <f>IF(33&lt;=Tenure,IF(H35=0,0,IF(AND(I35&lt;&gt;"",I35&lt;&gt;0,I35&lt;C35),MIN(F35,MAX(0,H35-K35)-IFERROR(MIN(MAX(0,(MAX(0,H35-K35)-F35)/(1-MAX(0,C35-I35)*(AnnualRate/100))),E35,MAX(0,H35-K35)),0)),MIN(F35,MAX(0,H35-K35)))),"")</f>
        <v/>
      </c>
      <c r="K35" s="60">
        <f>IF(33&lt;=Tenure,IF(H35=0,0,MIN(E35,MAX(0,MAX(0,H35-K35)-L35))),"")</f>
        <v/>
      </c>
      <c r="L35" s="49">
        <f>IF(33&lt;=Tenure,MAX(0,F35+G35+J35-K35-L35-M35),"")</f>
        <v/>
      </c>
      <c r="M35" s="49">
        <f>IF(33&lt;=Tenure,IF(33=Tenure,0,MAX(0,E35-M35)),"")</f>
        <v/>
      </c>
      <c r="N35" s="19">
        <f>IF(33&gt;Tenure,"",IF(AND(H35&gt;0,H35&gt;=F35+G35+J35),"Paid",IF(AND(H35&gt;0,H35&lt;F35+G35),"Partial",IF(AND(H35=0,TODAY()&gt;C35),"Overdue","Pending"))))</f>
        <v/>
      </c>
      <c r="O35" s="61" t="n"/>
      <c r="P35" s="61" t="n"/>
      <c r="Q35" s="61" t="n"/>
      <c r="R35" s="62" t="n"/>
      <c r="S35" s="62" t="n"/>
    </row>
    <row r="36">
      <c r="A36" s="63">
        <f>IF(34&lt;=Tenure,34,"")</f>
        <v/>
      </c>
      <c r="B36" s="64">
        <f>IF(34&lt;=Tenure,C35,"")</f>
        <v/>
      </c>
      <c r="C36" s="65">
        <f>IF(34&lt;=Tenure,WORKDAY.INTL(EDATE(FirstPayDate,33)-1,1,1,ArmenianHolidays),"")</f>
        <v/>
      </c>
      <c r="D36" s="66">
        <f>IF(34&lt;=Tenure,IF(34=Tenure,C36-C35+1,C36-C35),"")</f>
        <v/>
      </c>
      <c r="E36" s="60">
        <f>IF(34&lt;=Tenure,O35,"")</f>
        <v/>
      </c>
      <c r="F36" s="49">
        <f>IF(34&lt;=Tenure,E36*D36*(AnnualRate/100),"")</f>
        <v/>
      </c>
      <c r="G36" s="49">
        <f>IF(34&lt;=Tenure,IF(34=Tenure,E36,EMI-F36),"")</f>
        <v/>
      </c>
      <c r="H36" s="60">
        <f>IF(34&lt;=Tenure,IFERROR(SUMIFS(Payments!$C:$C,Payments!$B:$B,A36),0),"")</f>
        <v/>
      </c>
      <c r="I36" s="64">
        <f>IF(34&lt;=Tenure,IFERROR(AGGREGATE(15,6,Payments!$A$3:$A$200/(Payments!$B$3:$B$200=A36),1),""),"")</f>
        <v/>
      </c>
      <c r="J36" s="49">
        <f>IF(34&lt;=Tenure,IF(H36=0,0,IF(AND(I36&lt;&gt;"",I36&lt;&gt;0,I36&lt;C36),MIN(F36,MAX(0,H36-K36)-IFERROR(MIN(MAX(0,(MAX(0,H36-K36)-F36)/(1-MAX(0,C36-I36)*(AnnualRate/100))),E36,MAX(0,H36-K36)),0)),MIN(F36,MAX(0,H36-K36)))),"")</f>
        <v/>
      </c>
      <c r="K36" s="60">
        <f>IF(34&lt;=Tenure,IF(H36=0,0,MIN(E36,MAX(0,MAX(0,H36-K36)-L36))),"")</f>
        <v/>
      </c>
      <c r="L36" s="49">
        <f>IF(34&lt;=Tenure,MAX(0,F36+G36+J36-K36-L36-M36),"")</f>
        <v/>
      </c>
      <c r="M36" s="49">
        <f>IF(34&lt;=Tenure,IF(34=Tenure,0,MAX(0,E36-M36)),"")</f>
        <v/>
      </c>
      <c r="N36" s="19">
        <f>IF(34&gt;Tenure,"",IF(AND(H36&gt;0,H36&gt;=F36+G36+J36),"Paid",IF(AND(H36&gt;0,H36&lt;F36+G36),"Partial",IF(AND(H36=0,TODAY()&gt;C36),"Overdue","Pending"))))</f>
        <v/>
      </c>
      <c r="O36" s="61" t="n"/>
      <c r="P36" s="61" t="n"/>
      <c r="Q36" s="61" t="n"/>
      <c r="R36" s="62" t="n"/>
      <c r="S36" s="62" t="n"/>
    </row>
    <row r="37">
      <c r="A37" s="63">
        <f>IF(35&lt;=Tenure,35,"")</f>
        <v/>
      </c>
      <c r="B37" s="64">
        <f>IF(35&lt;=Tenure,C36,"")</f>
        <v/>
      </c>
      <c r="C37" s="65">
        <f>IF(35&lt;=Tenure,WORKDAY.INTL(EDATE(FirstPayDate,34)-1,1,1,ArmenianHolidays),"")</f>
        <v/>
      </c>
      <c r="D37" s="66">
        <f>IF(35&lt;=Tenure,IF(35=Tenure,C37-C36+1,C37-C36),"")</f>
        <v/>
      </c>
      <c r="E37" s="60">
        <f>IF(35&lt;=Tenure,O36,"")</f>
        <v/>
      </c>
      <c r="F37" s="49">
        <f>IF(35&lt;=Tenure,E37*D37*(AnnualRate/100),"")</f>
        <v/>
      </c>
      <c r="G37" s="49">
        <f>IF(35&lt;=Tenure,IF(35=Tenure,E37,EMI-F37),"")</f>
        <v/>
      </c>
      <c r="H37" s="60">
        <f>IF(35&lt;=Tenure,IFERROR(SUMIFS(Payments!$C:$C,Payments!$B:$B,A37),0),"")</f>
        <v/>
      </c>
      <c r="I37" s="64">
        <f>IF(35&lt;=Tenure,IFERROR(AGGREGATE(15,6,Payments!$A$3:$A$200/(Payments!$B$3:$B$200=A37),1),""),"")</f>
        <v/>
      </c>
      <c r="J37" s="49">
        <f>IF(35&lt;=Tenure,IF(H37=0,0,IF(AND(I37&lt;&gt;"",I37&lt;&gt;0,I37&lt;C37),MIN(F37,MAX(0,H37-K37)-IFERROR(MIN(MAX(0,(MAX(0,H37-K37)-F37)/(1-MAX(0,C37-I37)*(AnnualRate/100))),E37,MAX(0,H37-K37)),0)),MIN(F37,MAX(0,H37-K37)))),"")</f>
        <v/>
      </c>
      <c r="K37" s="60">
        <f>IF(35&lt;=Tenure,IF(H37=0,0,MIN(E37,MAX(0,MAX(0,H37-K37)-L37))),"")</f>
        <v/>
      </c>
      <c r="L37" s="49">
        <f>IF(35&lt;=Tenure,MAX(0,F37+G37+J37-K37-L37-M37),"")</f>
        <v/>
      </c>
      <c r="M37" s="49">
        <f>IF(35&lt;=Tenure,IF(35=Tenure,0,MAX(0,E37-M37)),"")</f>
        <v/>
      </c>
      <c r="N37" s="19">
        <f>IF(35&gt;Tenure,"",IF(AND(H37&gt;0,H37&gt;=F37+G37+J37),"Paid",IF(AND(H37&gt;0,H37&lt;F37+G37),"Partial",IF(AND(H37=0,TODAY()&gt;C37),"Overdue","Pending"))))</f>
        <v/>
      </c>
      <c r="O37" s="61" t="n"/>
      <c r="P37" s="61" t="n"/>
      <c r="Q37" s="61" t="n"/>
      <c r="R37" s="62" t="n"/>
      <c r="S37" s="62" t="n"/>
    </row>
    <row r="38">
      <c r="A38" s="63">
        <f>IF(36&lt;=Tenure,36,"")</f>
        <v/>
      </c>
      <c r="B38" s="64">
        <f>IF(36&lt;=Tenure,C37,"")</f>
        <v/>
      </c>
      <c r="C38" s="65">
        <f>IF(36&lt;=Tenure,WORKDAY.INTL(EDATE(FirstPayDate,35)-1,1,1,ArmenianHolidays),"")</f>
        <v/>
      </c>
      <c r="D38" s="66">
        <f>IF(36&lt;=Tenure,IF(36=Tenure,C38-C37+1,C38-C37),"")</f>
        <v/>
      </c>
      <c r="E38" s="60">
        <f>IF(36&lt;=Tenure,O37,"")</f>
        <v/>
      </c>
      <c r="F38" s="49">
        <f>IF(36&lt;=Tenure,E38*D38*(AnnualRate/100),"")</f>
        <v/>
      </c>
      <c r="G38" s="49">
        <f>IF(36&lt;=Tenure,IF(36=Tenure,E38,EMI-F38),"")</f>
        <v/>
      </c>
      <c r="H38" s="60">
        <f>IF(36&lt;=Tenure,IFERROR(SUMIFS(Payments!$C:$C,Payments!$B:$B,A38),0),"")</f>
        <v/>
      </c>
      <c r="I38" s="64">
        <f>IF(36&lt;=Tenure,IFERROR(AGGREGATE(15,6,Payments!$A$3:$A$200/(Payments!$B$3:$B$200=A38),1),""),"")</f>
        <v/>
      </c>
      <c r="J38" s="49">
        <f>IF(36&lt;=Tenure,IF(H38=0,0,IF(AND(I38&lt;&gt;"",I38&lt;&gt;0,I38&lt;C38),MIN(F38,MAX(0,H38-K38)-IFERROR(MIN(MAX(0,(MAX(0,H38-K38)-F38)/(1-MAX(0,C38-I38)*(AnnualRate/100))),E38,MAX(0,H38-K38)),0)),MIN(F38,MAX(0,H38-K38)))),"")</f>
        <v/>
      </c>
      <c r="K38" s="60">
        <f>IF(36&lt;=Tenure,IF(H38=0,0,MIN(E38,MAX(0,MAX(0,H38-K38)-L38))),"")</f>
        <v/>
      </c>
      <c r="L38" s="49">
        <f>IF(36&lt;=Tenure,MAX(0,F38+G38+J38-K38-L38-M38),"")</f>
        <v/>
      </c>
      <c r="M38" s="49">
        <f>IF(36&lt;=Tenure,IF(36=Tenure,0,MAX(0,E38-M38)),"")</f>
        <v/>
      </c>
      <c r="N38" s="19">
        <f>IF(36&gt;Tenure,"",IF(AND(H38&gt;0,H38&gt;=F38+G38+J38),"Paid",IF(AND(H38&gt;0,H38&lt;F38+G38),"Partial",IF(AND(H38=0,TODAY()&gt;C38),"Overdue","Pending"))))</f>
        <v/>
      </c>
      <c r="O38" s="61" t="n"/>
      <c r="P38" s="61" t="n"/>
      <c r="Q38" s="61" t="n"/>
      <c r="R38" s="62" t="n"/>
      <c r="S38" s="62" t="n"/>
    </row>
    <row r="39">
      <c r="A39" s="63">
        <f>IF(37&lt;=Tenure,37,"")</f>
        <v/>
      </c>
      <c r="B39" s="64">
        <f>IF(37&lt;=Tenure,C38,"")</f>
        <v/>
      </c>
      <c r="C39" s="65">
        <f>IF(37&lt;=Tenure,WORKDAY.INTL(EDATE(FirstPayDate,36)-1,1,1,ArmenianHolidays),"")</f>
        <v/>
      </c>
      <c r="D39" s="66">
        <f>IF(37&lt;=Tenure,IF(37=Tenure,C39-C38+1,C39-C38),"")</f>
        <v/>
      </c>
      <c r="E39" s="60">
        <f>IF(37&lt;=Tenure,O38,"")</f>
        <v/>
      </c>
      <c r="F39" s="49">
        <f>IF(37&lt;=Tenure,E39*D39*(AnnualRate/100),"")</f>
        <v/>
      </c>
      <c r="G39" s="49">
        <f>IF(37&lt;=Tenure,IF(37=Tenure,E39,EMI-F39),"")</f>
        <v/>
      </c>
      <c r="H39" s="60">
        <f>IF(37&lt;=Tenure,IFERROR(SUMIFS(Payments!$C:$C,Payments!$B:$B,A39),0),"")</f>
        <v/>
      </c>
      <c r="I39" s="64">
        <f>IF(37&lt;=Tenure,IFERROR(AGGREGATE(15,6,Payments!$A$3:$A$200/(Payments!$B$3:$B$200=A39),1),""),"")</f>
        <v/>
      </c>
      <c r="J39" s="49">
        <f>IF(37&lt;=Tenure,IF(H39=0,0,IF(AND(I39&lt;&gt;"",I39&lt;&gt;0,I39&lt;C39),MIN(F39,MAX(0,H39-K39)-IFERROR(MIN(MAX(0,(MAX(0,H39-K39)-F39)/(1-MAX(0,C39-I39)*(AnnualRate/100))),E39,MAX(0,H39-K39)),0)),MIN(F39,MAX(0,H39-K39)))),"")</f>
        <v/>
      </c>
      <c r="K39" s="60">
        <f>IF(37&lt;=Tenure,IF(H39=0,0,MIN(E39,MAX(0,MAX(0,H39-K39)-L39))),"")</f>
        <v/>
      </c>
      <c r="L39" s="49">
        <f>IF(37&lt;=Tenure,MAX(0,F39+G39+J39-K39-L39-M39),"")</f>
        <v/>
      </c>
      <c r="M39" s="49">
        <f>IF(37&lt;=Tenure,IF(37=Tenure,0,MAX(0,E39-M39)),"")</f>
        <v/>
      </c>
      <c r="N39" s="19">
        <f>IF(37&gt;Tenure,"",IF(AND(H39&gt;0,H39&gt;=F39+G39+J39),"Paid",IF(AND(H39&gt;0,H39&lt;F39+G39),"Partial",IF(AND(H39=0,TODAY()&gt;C39),"Overdue","Pending"))))</f>
        <v/>
      </c>
      <c r="O39" s="61" t="n"/>
      <c r="P39" s="61" t="n"/>
      <c r="Q39" s="61" t="n"/>
      <c r="R39" s="62" t="n"/>
      <c r="S39" s="62" t="n"/>
    </row>
    <row r="40">
      <c r="A40" s="63">
        <f>IF(38&lt;=Tenure,38,"")</f>
        <v/>
      </c>
      <c r="B40" s="64">
        <f>IF(38&lt;=Tenure,C39,"")</f>
        <v/>
      </c>
      <c r="C40" s="65">
        <f>IF(38&lt;=Tenure,WORKDAY.INTL(EDATE(FirstPayDate,37)-1,1,1,ArmenianHolidays),"")</f>
        <v/>
      </c>
      <c r="D40" s="66">
        <f>IF(38&lt;=Tenure,IF(38=Tenure,C40-C39+1,C40-C39),"")</f>
        <v/>
      </c>
      <c r="E40" s="60">
        <f>IF(38&lt;=Tenure,O39,"")</f>
        <v/>
      </c>
      <c r="F40" s="49">
        <f>IF(38&lt;=Tenure,E40*D40*(AnnualRate/100),"")</f>
        <v/>
      </c>
      <c r="G40" s="49">
        <f>IF(38&lt;=Tenure,IF(38=Tenure,E40,EMI-F40),"")</f>
        <v/>
      </c>
      <c r="H40" s="60">
        <f>IF(38&lt;=Tenure,IFERROR(SUMIFS(Payments!$C:$C,Payments!$B:$B,A40),0),"")</f>
        <v/>
      </c>
      <c r="I40" s="64">
        <f>IF(38&lt;=Tenure,IFERROR(AGGREGATE(15,6,Payments!$A$3:$A$200/(Payments!$B$3:$B$200=A40),1),""),"")</f>
        <v/>
      </c>
      <c r="J40" s="49">
        <f>IF(38&lt;=Tenure,IF(H40=0,0,IF(AND(I40&lt;&gt;"",I40&lt;&gt;0,I40&lt;C40),MIN(F40,MAX(0,H40-K40)-IFERROR(MIN(MAX(0,(MAX(0,H40-K40)-F40)/(1-MAX(0,C40-I40)*(AnnualRate/100))),E40,MAX(0,H40-K40)),0)),MIN(F40,MAX(0,H40-K40)))),"")</f>
        <v/>
      </c>
      <c r="K40" s="60">
        <f>IF(38&lt;=Tenure,IF(H40=0,0,MIN(E40,MAX(0,MAX(0,H40-K40)-L40))),"")</f>
        <v/>
      </c>
      <c r="L40" s="49">
        <f>IF(38&lt;=Tenure,MAX(0,F40+G40+J40-K40-L40-M40),"")</f>
        <v/>
      </c>
      <c r="M40" s="49">
        <f>IF(38&lt;=Tenure,IF(38=Tenure,0,MAX(0,E40-M40)),"")</f>
        <v/>
      </c>
      <c r="N40" s="19">
        <f>IF(38&gt;Tenure,"",IF(AND(H40&gt;0,H40&gt;=F40+G40+J40),"Paid",IF(AND(H40&gt;0,H40&lt;F40+G40),"Partial",IF(AND(H40=0,TODAY()&gt;C40),"Overdue","Pending"))))</f>
        <v/>
      </c>
      <c r="O40" s="61" t="n"/>
      <c r="P40" s="61" t="n"/>
      <c r="Q40" s="61" t="n"/>
      <c r="R40" s="62" t="n"/>
      <c r="S40" s="62" t="n"/>
    </row>
    <row r="41">
      <c r="A41" s="63">
        <f>IF(39&lt;=Tenure,39,"")</f>
        <v/>
      </c>
      <c r="B41" s="64">
        <f>IF(39&lt;=Tenure,C40,"")</f>
        <v/>
      </c>
      <c r="C41" s="65">
        <f>IF(39&lt;=Tenure,WORKDAY.INTL(EDATE(FirstPayDate,38)-1,1,1,ArmenianHolidays),"")</f>
        <v/>
      </c>
      <c r="D41" s="66">
        <f>IF(39&lt;=Tenure,IF(39=Tenure,C41-C40+1,C41-C40),"")</f>
        <v/>
      </c>
      <c r="E41" s="60">
        <f>IF(39&lt;=Tenure,O40,"")</f>
        <v/>
      </c>
      <c r="F41" s="49">
        <f>IF(39&lt;=Tenure,E41*D41*(AnnualRate/100),"")</f>
        <v/>
      </c>
      <c r="G41" s="49">
        <f>IF(39&lt;=Tenure,IF(39=Tenure,E41,EMI-F41),"")</f>
        <v/>
      </c>
      <c r="H41" s="60">
        <f>IF(39&lt;=Tenure,IFERROR(SUMIFS(Payments!$C:$C,Payments!$B:$B,A41),0),"")</f>
        <v/>
      </c>
      <c r="I41" s="64">
        <f>IF(39&lt;=Tenure,IFERROR(AGGREGATE(15,6,Payments!$A$3:$A$200/(Payments!$B$3:$B$200=A41),1),""),"")</f>
        <v/>
      </c>
      <c r="J41" s="49">
        <f>IF(39&lt;=Tenure,IF(H41=0,0,IF(AND(I41&lt;&gt;"",I41&lt;&gt;0,I41&lt;C41),MIN(F41,MAX(0,H41-K41)-IFERROR(MIN(MAX(0,(MAX(0,H41-K41)-F41)/(1-MAX(0,C41-I41)*(AnnualRate/100))),E41,MAX(0,H41-K41)),0)),MIN(F41,MAX(0,H41-K41)))),"")</f>
        <v/>
      </c>
      <c r="K41" s="60">
        <f>IF(39&lt;=Tenure,IF(H41=0,0,MIN(E41,MAX(0,MAX(0,H41-K41)-L41))),"")</f>
        <v/>
      </c>
      <c r="L41" s="49">
        <f>IF(39&lt;=Tenure,MAX(0,F41+G41+J41-K41-L41-M41),"")</f>
        <v/>
      </c>
      <c r="M41" s="49">
        <f>IF(39&lt;=Tenure,IF(39=Tenure,0,MAX(0,E41-M41)),"")</f>
        <v/>
      </c>
      <c r="N41" s="19">
        <f>IF(39&gt;Tenure,"",IF(AND(H41&gt;0,H41&gt;=F41+G41+J41),"Paid",IF(AND(H41&gt;0,H41&lt;F41+G41),"Partial",IF(AND(H41=0,TODAY()&gt;C41),"Overdue","Pending"))))</f>
        <v/>
      </c>
      <c r="O41" s="61" t="n"/>
      <c r="P41" s="61" t="n"/>
      <c r="Q41" s="61" t="n"/>
      <c r="R41" s="62" t="n"/>
      <c r="S41" s="62" t="n"/>
    </row>
    <row r="42">
      <c r="A42" s="63">
        <f>IF(40&lt;=Tenure,40,"")</f>
        <v/>
      </c>
      <c r="B42" s="64">
        <f>IF(40&lt;=Tenure,C41,"")</f>
        <v/>
      </c>
      <c r="C42" s="65">
        <f>IF(40&lt;=Tenure,WORKDAY.INTL(EDATE(FirstPayDate,39)-1,1,1,ArmenianHolidays),"")</f>
        <v/>
      </c>
      <c r="D42" s="66">
        <f>IF(40&lt;=Tenure,IF(40=Tenure,C42-C41+1,C42-C41),"")</f>
        <v/>
      </c>
      <c r="E42" s="60">
        <f>IF(40&lt;=Tenure,O41,"")</f>
        <v/>
      </c>
      <c r="F42" s="49">
        <f>IF(40&lt;=Tenure,E42*D42*(AnnualRate/100),"")</f>
        <v/>
      </c>
      <c r="G42" s="49">
        <f>IF(40&lt;=Tenure,IF(40=Tenure,E42,EMI-F42),"")</f>
        <v/>
      </c>
      <c r="H42" s="60">
        <f>IF(40&lt;=Tenure,IFERROR(SUMIFS(Payments!$C:$C,Payments!$B:$B,A42),0),"")</f>
        <v/>
      </c>
      <c r="I42" s="64">
        <f>IF(40&lt;=Tenure,IFERROR(AGGREGATE(15,6,Payments!$A$3:$A$200/(Payments!$B$3:$B$200=A42),1),""),"")</f>
        <v/>
      </c>
      <c r="J42" s="49">
        <f>IF(40&lt;=Tenure,IF(H42=0,0,IF(AND(I42&lt;&gt;"",I42&lt;&gt;0,I42&lt;C42),MIN(F42,MAX(0,H42-K42)-IFERROR(MIN(MAX(0,(MAX(0,H42-K42)-F42)/(1-MAX(0,C42-I42)*(AnnualRate/100))),E42,MAX(0,H42-K42)),0)),MIN(F42,MAX(0,H42-K42)))),"")</f>
        <v/>
      </c>
      <c r="K42" s="60">
        <f>IF(40&lt;=Tenure,IF(H42=0,0,MIN(E42,MAX(0,MAX(0,H42-K42)-L42))),"")</f>
        <v/>
      </c>
      <c r="L42" s="49">
        <f>IF(40&lt;=Tenure,MAX(0,F42+G42+J42-K42-L42-M42),"")</f>
        <v/>
      </c>
      <c r="M42" s="49">
        <f>IF(40&lt;=Tenure,IF(40=Tenure,0,MAX(0,E42-M42)),"")</f>
        <v/>
      </c>
      <c r="N42" s="19">
        <f>IF(40&gt;Tenure,"",IF(AND(H42&gt;0,H42&gt;=F42+G42+J42),"Paid",IF(AND(H42&gt;0,H42&lt;F42+G42),"Partial",IF(AND(H42=0,TODAY()&gt;C42),"Overdue","Pending"))))</f>
        <v/>
      </c>
      <c r="O42" s="61" t="n"/>
      <c r="P42" s="61" t="n"/>
      <c r="Q42" s="61" t="n"/>
      <c r="R42" s="62" t="n"/>
      <c r="S42" s="62" t="n"/>
    </row>
    <row r="43">
      <c r="A43" s="63">
        <f>IF(41&lt;=Tenure,41,"")</f>
        <v/>
      </c>
      <c r="B43" s="64">
        <f>IF(41&lt;=Tenure,C42,"")</f>
        <v/>
      </c>
      <c r="C43" s="65">
        <f>IF(41&lt;=Tenure,WORKDAY.INTL(EDATE(FirstPayDate,40)-1,1,1,ArmenianHolidays),"")</f>
        <v/>
      </c>
      <c r="D43" s="66">
        <f>IF(41&lt;=Tenure,IF(41=Tenure,C43-C42+1,C43-C42),"")</f>
        <v/>
      </c>
      <c r="E43" s="60">
        <f>IF(41&lt;=Tenure,O42,"")</f>
        <v/>
      </c>
      <c r="F43" s="49">
        <f>IF(41&lt;=Tenure,E43*D43*(AnnualRate/100),"")</f>
        <v/>
      </c>
      <c r="G43" s="49">
        <f>IF(41&lt;=Tenure,IF(41=Tenure,E43,EMI-F43),"")</f>
        <v/>
      </c>
      <c r="H43" s="60">
        <f>IF(41&lt;=Tenure,IFERROR(SUMIFS(Payments!$C:$C,Payments!$B:$B,A43),0),"")</f>
        <v/>
      </c>
      <c r="I43" s="64">
        <f>IF(41&lt;=Tenure,IFERROR(AGGREGATE(15,6,Payments!$A$3:$A$200/(Payments!$B$3:$B$200=A43),1),""),"")</f>
        <v/>
      </c>
      <c r="J43" s="49">
        <f>IF(41&lt;=Tenure,IF(H43=0,0,IF(AND(I43&lt;&gt;"",I43&lt;&gt;0,I43&lt;C43),MIN(F43,MAX(0,H43-K43)-IFERROR(MIN(MAX(0,(MAX(0,H43-K43)-F43)/(1-MAX(0,C43-I43)*(AnnualRate/100))),E43,MAX(0,H43-K43)),0)),MIN(F43,MAX(0,H43-K43)))),"")</f>
        <v/>
      </c>
      <c r="K43" s="60">
        <f>IF(41&lt;=Tenure,IF(H43=0,0,MIN(E43,MAX(0,MAX(0,H43-K43)-L43))),"")</f>
        <v/>
      </c>
      <c r="L43" s="49">
        <f>IF(41&lt;=Tenure,MAX(0,F43+G43+J43-K43-L43-M43),"")</f>
        <v/>
      </c>
      <c r="M43" s="49">
        <f>IF(41&lt;=Tenure,IF(41=Tenure,0,MAX(0,E43-M43)),"")</f>
        <v/>
      </c>
      <c r="N43" s="19">
        <f>IF(41&gt;Tenure,"",IF(AND(H43&gt;0,H43&gt;=F43+G43+J43),"Paid",IF(AND(H43&gt;0,H43&lt;F43+G43),"Partial",IF(AND(H43=0,TODAY()&gt;C43),"Overdue","Pending"))))</f>
        <v/>
      </c>
      <c r="O43" s="61" t="n"/>
      <c r="P43" s="61" t="n"/>
      <c r="Q43" s="61" t="n"/>
      <c r="R43" s="62" t="n"/>
      <c r="S43" s="62" t="n"/>
    </row>
    <row r="44">
      <c r="A44" s="63">
        <f>IF(42&lt;=Tenure,42,"")</f>
        <v/>
      </c>
      <c r="B44" s="64">
        <f>IF(42&lt;=Tenure,C43,"")</f>
        <v/>
      </c>
      <c r="C44" s="65">
        <f>IF(42&lt;=Tenure,WORKDAY.INTL(EDATE(FirstPayDate,41)-1,1,1,ArmenianHolidays),"")</f>
        <v/>
      </c>
      <c r="D44" s="66">
        <f>IF(42&lt;=Tenure,IF(42=Tenure,C44-C43+1,C44-C43),"")</f>
        <v/>
      </c>
      <c r="E44" s="60">
        <f>IF(42&lt;=Tenure,O43,"")</f>
        <v/>
      </c>
      <c r="F44" s="49">
        <f>IF(42&lt;=Tenure,E44*D44*(AnnualRate/100),"")</f>
        <v/>
      </c>
      <c r="G44" s="49">
        <f>IF(42&lt;=Tenure,IF(42=Tenure,E44,EMI-F44),"")</f>
        <v/>
      </c>
      <c r="H44" s="60">
        <f>IF(42&lt;=Tenure,IFERROR(SUMIFS(Payments!$C:$C,Payments!$B:$B,A44),0),"")</f>
        <v/>
      </c>
      <c r="I44" s="64">
        <f>IF(42&lt;=Tenure,IFERROR(AGGREGATE(15,6,Payments!$A$3:$A$200/(Payments!$B$3:$B$200=A44),1),""),"")</f>
        <v/>
      </c>
      <c r="J44" s="49">
        <f>IF(42&lt;=Tenure,IF(H44=0,0,IF(AND(I44&lt;&gt;"",I44&lt;&gt;0,I44&lt;C44),MIN(F44,MAX(0,H44-K44)-IFERROR(MIN(MAX(0,(MAX(0,H44-K44)-F44)/(1-MAX(0,C44-I44)*(AnnualRate/100))),E44,MAX(0,H44-K44)),0)),MIN(F44,MAX(0,H44-K44)))),"")</f>
        <v/>
      </c>
      <c r="K44" s="60">
        <f>IF(42&lt;=Tenure,IF(H44=0,0,MIN(E44,MAX(0,MAX(0,H44-K44)-L44))),"")</f>
        <v/>
      </c>
      <c r="L44" s="49">
        <f>IF(42&lt;=Tenure,MAX(0,F44+G44+J44-K44-L44-M44),"")</f>
        <v/>
      </c>
      <c r="M44" s="49">
        <f>IF(42&lt;=Tenure,IF(42=Tenure,0,MAX(0,E44-M44)),"")</f>
        <v/>
      </c>
      <c r="N44" s="19">
        <f>IF(42&gt;Tenure,"",IF(AND(H44&gt;0,H44&gt;=F44+G44+J44),"Paid",IF(AND(H44&gt;0,H44&lt;F44+G44),"Partial",IF(AND(H44=0,TODAY()&gt;C44),"Overdue","Pending"))))</f>
        <v/>
      </c>
      <c r="O44" s="61" t="n"/>
      <c r="P44" s="61" t="n"/>
      <c r="Q44" s="61" t="n"/>
      <c r="R44" s="62" t="n"/>
      <c r="S44" s="62" t="n"/>
    </row>
    <row r="45">
      <c r="A45" s="63">
        <f>IF(43&lt;=Tenure,43,"")</f>
        <v/>
      </c>
      <c r="B45" s="64">
        <f>IF(43&lt;=Tenure,C44,"")</f>
        <v/>
      </c>
      <c r="C45" s="65">
        <f>IF(43&lt;=Tenure,WORKDAY.INTL(EDATE(FirstPayDate,42)-1,1,1,ArmenianHolidays),"")</f>
        <v/>
      </c>
      <c r="D45" s="66">
        <f>IF(43&lt;=Tenure,IF(43=Tenure,C45-C44+1,C45-C44),"")</f>
        <v/>
      </c>
      <c r="E45" s="60">
        <f>IF(43&lt;=Tenure,O44,"")</f>
        <v/>
      </c>
      <c r="F45" s="49">
        <f>IF(43&lt;=Tenure,E45*D45*(AnnualRate/100),"")</f>
        <v/>
      </c>
      <c r="G45" s="49">
        <f>IF(43&lt;=Tenure,IF(43=Tenure,E45,EMI-F45),"")</f>
        <v/>
      </c>
      <c r="H45" s="60">
        <f>IF(43&lt;=Tenure,IFERROR(SUMIFS(Payments!$C:$C,Payments!$B:$B,A45),0),"")</f>
        <v/>
      </c>
      <c r="I45" s="64">
        <f>IF(43&lt;=Tenure,IFERROR(AGGREGATE(15,6,Payments!$A$3:$A$200/(Payments!$B$3:$B$200=A45),1),""),"")</f>
        <v/>
      </c>
      <c r="J45" s="49">
        <f>IF(43&lt;=Tenure,IF(H45=0,0,IF(AND(I45&lt;&gt;"",I45&lt;&gt;0,I45&lt;C45),MIN(F45,MAX(0,H45-K45)-IFERROR(MIN(MAX(0,(MAX(0,H45-K45)-F45)/(1-MAX(0,C45-I45)*(AnnualRate/100))),E45,MAX(0,H45-K45)),0)),MIN(F45,MAX(0,H45-K45)))),"")</f>
        <v/>
      </c>
      <c r="K45" s="60">
        <f>IF(43&lt;=Tenure,IF(H45=0,0,MIN(E45,MAX(0,MAX(0,H45-K45)-L45))),"")</f>
        <v/>
      </c>
      <c r="L45" s="49">
        <f>IF(43&lt;=Tenure,MAX(0,F45+G45+J45-K45-L45-M45),"")</f>
        <v/>
      </c>
      <c r="M45" s="49">
        <f>IF(43&lt;=Tenure,IF(43=Tenure,0,MAX(0,E45-M45)),"")</f>
        <v/>
      </c>
      <c r="N45" s="19">
        <f>IF(43&gt;Tenure,"",IF(AND(H45&gt;0,H45&gt;=F45+G45+J45),"Paid",IF(AND(H45&gt;0,H45&lt;F45+G45),"Partial",IF(AND(H45=0,TODAY()&gt;C45),"Overdue","Pending"))))</f>
        <v/>
      </c>
      <c r="O45" s="61" t="n"/>
      <c r="P45" s="61" t="n"/>
      <c r="Q45" s="61" t="n"/>
      <c r="R45" s="62" t="n"/>
      <c r="S45" s="62" t="n"/>
    </row>
    <row r="46">
      <c r="A46" s="63">
        <f>IF(44&lt;=Tenure,44,"")</f>
        <v/>
      </c>
      <c r="B46" s="64">
        <f>IF(44&lt;=Tenure,C45,"")</f>
        <v/>
      </c>
      <c r="C46" s="65">
        <f>IF(44&lt;=Tenure,WORKDAY.INTL(EDATE(FirstPayDate,43)-1,1,1,ArmenianHolidays),"")</f>
        <v/>
      </c>
      <c r="D46" s="66">
        <f>IF(44&lt;=Tenure,IF(44=Tenure,C46-C45+1,C46-C45),"")</f>
        <v/>
      </c>
      <c r="E46" s="60">
        <f>IF(44&lt;=Tenure,O45,"")</f>
        <v/>
      </c>
      <c r="F46" s="49">
        <f>IF(44&lt;=Tenure,E46*D46*(AnnualRate/100),"")</f>
        <v/>
      </c>
      <c r="G46" s="49">
        <f>IF(44&lt;=Tenure,IF(44=Tenure,E46,EMI-F46),"")</f>
        <v/>
      </c>
      <c r="H46" s="60">
        <f>IF(44&lt;=Tenure,IFERROR(SUMIFS(Payments!$C:$C,Payments!$B:$B,A46),0),"")</f>
        <v/>
      </c>
      <c r="I46" s="64">
        <f>IF(44&lt;=Tenure,IFERROR(AGGREGATE(15,6,Payments!$A$3:$A$200/(Payments!$B$3:$B$200=A46),1),""),"")</f>
        <v/>
      </c>
      <c r="J46" s="49">
        <f>IF(44&lt;=Tenure,IF(H46=0,0,IF(AND(I46&lt;&gt;"",I46&lt;&gt;0,I46&lt;C46),MIN(F46,MAX(0,H46-K46)-IFERROR(MIN(MAX(0,(MAX(0,H46-K46)-F46)/(1-MAX(0,C46-I46)*(AnnualRate/100))),E46,MAX(0,H46-K46)),0)),MIN(F46,MAX(0,H46-K46)))),"")</f>
        <v/>
      </c>
      <c r="K46" s="60">
        <f>IF(44&lt;=Tenure,IF(H46=0,0,MIN(E46,MAX(0,MAX(0,H46-K46)-L46))),"")</f>
        <v/>
      </c>
      <c r="L46" s="49">
        <f>IF(44&lt;=Tenure,MAX(0,F46+G46+J46-K46-L46-M46),"")</f>
        <v/>
      </c>
      <c r="M46" s="49">
        <f>IF(44&lt;=Tenure,IF(44=Tenure,0,MAX(0,E46-M46)),"")</f>
        <v/>
      </c>
      <c r="N46" s="19">
        <f>IF(44&gt;Tenure,"",IF(AND(H46&gt;0,H46&gt;=F46+G46+J46),"Paid",IF(AND(H46&gt;0,H46&lt;F46+G46),"Partial",IF(AND(H46=0,TODAY()&gt;C46),"Overdue","Pending"))))</f>
        <v/>
      </c>
      <c r="O46" s="61" t="n"/>
      <c r="P46" s="61" t="n"/>
      <c r="Q46" s="61" t="n"/>
      <c r="R46" s="62" t="n"/>
      <c r="S46" s="62" t="n"/>
    </row>
    <row r="47">
      <c r="A47" s="63">
        <f>IF(45&lt;=Tenure,45,"")</f>
        <v/>
      </c>
      <c r="B47" s="64">
        <f>IF(45&lt;=Tenure,C46,"")</f>
        <v/>
      </c>
      <c r="C47" s="65">
        <f>IF(45&lt;=Tenure,WORKDAY.INTL(EDATE(FirstPayDate,44)-1,1,1,ArmenianHolidays),"")</f>
        <v/>
      </c>
      <c r="D47" s="66">
        <f>IF(45&lt;=Tenure,IF(45=Tenure,C47-C46+1,C47-C46),"")</f>
        <v/>
      </c>
      <c r="E47" s="60">
        <f>IF(45&lt;=Tenure,O46,"")</f>
        <v/>
      </c>
      <c r="F47" s="49">
        <f>IF(45&lt;=Tenure,E47*D47*(AnnualRate/100),"")</f>
        <v/>
      </c>
      <c r="G47" s="49">
        <f>IF(45&lt;=Tenure,IF(45=Tenure,E47,EMI-F47),"")</f>
        <v/>
      </c>
      <c r="H47" s="60">
        <f>IF(45&lt;=Tenure,IFERROR(SUMIFS(Payments!$C:$C,Payments!$B:$B,A47),0),"")</f>
        <v/>
      </c>
      <c r="I47" s="64">
        <f>IF(45&lt;=Tenure,IFERROR(AGGREGATE(15,6,Payments!$A$3:$A$200/(Payments!$B$3:$B$200=A47),1),""),"")</f>
        <v/>
      </c>
      <c r="J47" s="49">
        <f>IF(45&lt;=Tenure,IF(H47=0,0,IF(AND(I47&lt;&gt;"",I47&lt;&gt;0,I47&lt;C47),MIN(F47,MAX(0,H47-K47)-IFERROR(MIN(MAX(0,(MAX(0,H47-K47)-F47)/(1-MAX(0,C47-I47)*(AnnualRate/100))),E47,MAX(0,H47-K47)),0)),MIN(F47,MAX(0,H47-K47)))),"")</f>
        <v/>
      </c>
      <c r="K47" s="60">
        <f>IF(45&lt;=Tenure,IF(H47=0,0,MIN(E47,MAX(0,MAX(0,H47-K47)-L47))),"")</f>
        <v/>
      </c>
      <c r="L47" s="49">
        <f>IF(45&lt;=Tenure,MAX(0,F47+G47+J47-K47-L47-M47),"")</f>
        <v/>
      </c>
      <c r="M47" s="49">
        <f>IF(45&lt;=Tenure,IF(45=Tenure,0,MAX(0,E47-M47)),"")</f>
        <v/>
      </c>
      <c r="N47" s="19">
        <f>IF(45&gt;Tenure,"",IF(AND(H47&gt;0,H47&gt;=F47+G47+J47),"Paid",IF(AND(H47&gt;0,H47&lt;F47+G47),"Partial",IF(AND(H47=0,TODAY()&gt;C47),"Overdue","Pending"))))</f>
        <v/>
      </c>
      <c r="O47" s="61" t="n"/>
      <c r="P47" s="61" t="n"/>
      <c r="Q47" s="61" t="n"/>
      <c r="R47" s="62" t="n"/>
      <c r="S47" s="62" t="n"/>
    </row>
    <row r="48">
      <c r="A48" s="63">
        <f>IF(46&lt;=Tenure,46,"")</f>
        <v/>
      </c>
      <c r="B48" s="64">
        <f>IF(46&lt;=Tenure,C47,"")</f>
        <v/>
      </c>
      <c r="C48" s="65">
        <f>IF(46&lt;=Tenure,WORKDAY.INTL(EDATE(FirstPayDate,45)-1,1,1,ArmenianHolidays),"")</f>
        <v/>
      </c>
      <c r="D48" s="66">
        <f>IF(46&lt;=Tenure,IF(46=Tenure,C48-C47+1,C48-C47),"")</f>
        <v/>
      </c>
      <c r="E48" s="60">
        <f>IF(46&lt;=Tenure,O47,"")</f>
        <v/>
      </c>
      <c r="F48" s="49">
        <f>IF(46&lt;=Tenure,E48*D48*(AnnualRate/100),"")</f>
        <v/>
      </c>
      <c r="G48" s="49">
        <f>IF(46&lt;=Tenure,IF(46=Tenure,E48,EMI-F48),"")</f>
        <v/>
      </c>
      <c r="H48" s="60">
        <f>IF(46&lt;=Tenure,IFERROR(SUMIFS(Payments!$C:$C,Payments!$B:$B,A48),0),"")</f>
        <v/>
      </c>
      <c r="I48" s="64">
        <f>IF(46&lt;=Tenure,IFERROR(AGGREGATE(15,6,Payments!$A$3:$A$200/(Payments!$B$3:$B$200=A48),1),""),"")</f>
        <v/>
      </c>
      <c r="J48" s="49">
        <f>IF(46&lt;=Tenure,IF(H48=0,0,IF(AND(I48&lt;&gt;"",I48&lt;&gt;0,I48&lt;C48),MIN(F48,MAX(0,H48-K48)-IFERROR(MIN(MAX(0,(MAX(0,H48-K48)-F48)/(1-MAX(0,C48-I48)*(AnnualRate/100))),E48,MAX(0,H48-K48)),0)),MIN(F48,MAX(0,H48-K48)))),"")</f>
        <v/>
      </c>
      <c r="K48" s="60">
        <f>IF(46&lt;=Tenure,IF(H48=0,0,MIN(E48,MAX(0,MAX(0,H48-K48)-L48))),"")</f>
        <v/>
      </c>
      <c r="L48" s="49">
        <f>IF(46&lt;=Tenure,MAX(0,F48+G48+J48-K48-L48-M48),"")</f>
        <v/>
      </c>
      <c r="M48" s="49">
        <f>IF(46&lt;=Tenure,IF(46=Tenure,0,MAX(0,E48-M48)),"")</f>
        <v/>
      </c>
      <c r="N48" s="19">
        <f>IF(46&gt;Tenure,"",IF(AND(H48&gt;0,H48&gt;=F48+G48+J48),"Paid",IF(AND(H48&gt;0,H48&lt;F48+G48),"Partial",IF(AND(H48=0,TODAY()&gt;C48),"Overdue","Pending"))))</f>
        <v/>
      </c>
      <c r="O48" s="61" t="n"/>
      <c r="P48" s="61" t="n"/>
      <c r="Q48" s="61" t="n"/>
      <c r="R48" s="62" t="n"/>
      <c r="S48" s="62" t="n"/>
    </row>
    <row r="49">
      <c r="A49" s="63">
        <f>IF(47&lt;=Tenure,47,"")</f>
        <v/>
      </c>
      <c r="B49" s="64">
        <f>IF(47&lt;=Tenure,C48,"")</f>
        <v/>
      </c>
      <c r="C49" s="65">
        <f>IF(47&lt;=Tenure,WORKDAY.INTL(EDATE(FirstPayDate,46)-1,1,1,ArmenianHolidays),"")</f>
        <v/>
      </c>
      <c r="D49" s="66">
        <f>IF(47&lt;=Tenure,IF(47=Tenure,C49-C48+1,C49-C48),"")</f>
        <v/>
      </c>
      <c r="E49" s="60">
        <f>IF(47&lt;=Tenure,O48,"")</f>
        <v/>
      </c>
      <c r="F49" s="49">
        <f>IF(47&lt;=Tenure,E49*D49*(AnnualRate/100),"")</f>
        <v/>
      </c>
      <c r="G49" s="49">
        <f>IF(47&lt;=Tenure,IF(47=Tenure,E49,EMI-F49),"")</f>
        <v/>
      </c>
      <c r="H49" s="60">
        <f>IF(47&lt;=Tenure,IFERROR(SUMIFS(Payments!$C:$C,Payments!$B:$B,A49),0),"")</f>
        <v/>
      </c>
      <c r="I49" s="64">
        <f>IF(47&lt;=Tenure,IFERROR(AGGREGATE(15,6,Payments!$A$3:$A$200/(Payments!$B$3:$B$200=A49),1),""),"")</f>
        <v/>
      </c>
      <c r="J49" s="49">
        <f>IF(47&lt;=Tenure,IF(H49=0,0,IF(AND(I49&lt;&gt;"",I49&lt;&gt;0,I49&lt;C49),MIN(F49,MAX(0,H49-K49)-IFERROR(MIN(MAX(0,(MAX(0,H49-K49)-F49)/(1-MAX(0,C49-I49)*(AnnualRate/100))),E49,MAX(0,H49-K49)),0)),MIN(F49,MAX(0,H49-K49)))),"")</f>
        <v/>
      </c>
      <c r="K49" s="60">
        <f>IF(47&lt;=Tenure,IF(H49=0,0,MIN(E49,MAX(0,MAX(0,H49-K49)-L49))),"")</f>
        <v/>
      </c>
      <c r="L49" s="49">
        <f>IF(47&lt;=Tenure,MAX(0,F49+G49+J49-K49-L49-M49),"")</f>
        <v/>
      </c>
      <c r="M49" s="49">
        <f>IF(47&lt;=Tenure,IF(47=Tenure,0,MAX(0,E49-M49)),"")</f>
        <v/>
      </c>
      <c r="N49" s="19">
        <f>IF(47&gt;Tenure,"",IF(AND(H49&gt;0,H49&gt;=F49+G49+J49),"Paid",IF(AND(H49&gt;0,H49&lt;F49+G49),"Partial",IF(AND(H49=0,TODAY()&gt;C49),"Overdue","Pending"))))</f>
        <v/>
      </c>
      <c r="O49" s="61" t="n"/>
      <c r="P49" s="61" t="n"/>
      <c r="Q49" s="61" t="n"/>
      <c r="R49" s="62" t="n"/>
      <c r="S49" s="62" t="n"/>
    </row>
    <row r="50">
      <c r="A50" s="63">
        <f>IF(48&lt;=Tenure,48,"")</f>
        <v/>
      </c>
      <c r="B50" s="64">
        <f>IF(48&lt;=Tenure,C49,"")</f>
        <v/>
      </c>
      <c r="C50" s="65">
        <f>IF(48&lt;=Tenure,WORKDAY.INTL(EDATE(FirstPayDate,47)-1,1,1,ArmenianHolidays),"")</f>
        <v/>
      </c>
      <c r="D50" s="66">
        <f>IF(48&lt;=Tenure,IF(48=Tenure,C50-C49+1,C50-C49),"")</f>
        <v/>
      </c>
      <c r="E50" s="60">
        <f>IF(48&lt;=Tenure,O49,"")</f>
        <v/>
      </c>
      <c r="F50" s="49">
        <f>IF(48&lt;=Tenure,E50*D50*(AnnualRate/100),"")</f>
        <v/>
      </c>
      <c r="G50" s="49">
        <f>IF(48&lt;=Tenure,IF(48=Tenure,E50,EMI-F50),"")</f>
        <v/>
      </c>
      <c r="H50" s="60">
        <f>IF(48&lt;=Tenure,IFERROR(SUMIFS(Payments!$C:$C,Payments!$B:$B,A50),0),"")</f>
        <v/>
      </c>
      <c r="I50" s="64">
        <f>IF(48&lt;=Tenure,IFERROR(AGGREGATE(15,6,Payments!$A$3:$A$200/(Payments!$B$3:$B$200=A50),1),""),"")</f>
        <v/>
      </c>
      <c r="J50" s="49">
        <f>IF(48&lt;=Tenure,IF(H50=0,0,IF(AND(I50&lt;&gt;"",I50&lt;&gt;0,I50&lt;C50),MIN(F50,MAX(0,H50-K50)-IFERROR(MIN(MAX(0,(MAX(0,H50-K50)-F50)/(1-MAX(0,C50-I50)*(AnnualRate/100))),E50,MAX(0,H50-K50)),0)),MIN(F50,MAX(0,H50-K50)))),"")</f>
        <v/>
      </c>
      <c r="K50" s="60">
        <f>IF(48&lt;=Tenure,IF(H50=0,0,MIN(E50,MAX(0,MAX(0,H50-K50)-L50))),"")</f>
        <v/>
      </c>
      <c r="L50" s="49">
        <f>IF(48&lt;=Tenure,MAX(0,F50+G50+J50-K50-L50-M50),"")</f>
        <v/>
      </c>
      <c r="M50" s="49">
        <f>IF(48&lt;=Tenure,IF(48=Tenure,0,MAX(0,E50-M50)),"")</f>
        <v/>
      </c>
      <c r="N50" s="19">
        <f>IF(48&gt;Tenure,"",IF(AND(H50&gt;0,H50&gt;=F50+G50+J50),"Paid",IF(AND(H50&gt;0,H50&lt;F50+G50),"Partial",IF(AND(H50=0,TODAY()&gt;C50),"Overdue","Pending"))))</f>
        <v/>
      </c>
      <c r="O50" s="61" t="n"/>
      <c r="P50" s="61" t="n"/>
      <c r="Q50" s="61" t="n"/>
      <c r="R50" s="62" t="n"/>
      <c r="S50" s="62" t="n"/>
    </row>
    <row r="51">
      <c r="A51" s="63">
        <f>IF(49&lt;=Tenure,49,"")</f>
        <v/>
      </c>
      <c r="B51" s="64">
        <f>IF(49&lt;=Tenure,C50,"")</f>
        <v/>
      </c>
      <c r="C51" s="65">
        <f>IF(49&lt;=Tenure,WORKDAY.INTL(EDATE(FirstPayDate,48)-1,1,1,ArmenianHolidays),"")</f>
        <v/>
      </c>
      <c r="D51" s="66">
        <f>IF(49&lt;=Tenure,IF(49=Tenure,C51-C50+1,C51-C50),"")</f>
        <v/>
      </c>
      <c r="E51" s="60">
        <f>IF(49&lt;=Tenure,O50,"")</f>
        <v/>
      </c>
      <c r="F51" s="49">
        <f>IF(49&lt;=Tenure,E51*D51*(AnnualRate/100),"")</f>
        <v/>
      </c>
      <c r="G51" s="49">
        <f>IF(49&lt;=Tenure,IF(49=Tenure,E51,EMI-F51),"")</f>
        <v/>
      </c>
      <c r="H51" s="60">
        <f>IF(49&lt;=Tenure,IFERROR(SUMIFS(Payments!$C:$C,Payments!$B:$B,A51),0),"")</f>
        <v/>
      </c>
      <c r="I51" s="64">
        <f>IF(49&lt;=Tenure,IFERROR(AGGREGATE(15,6,Payments!$A$3:$A$200/(Payments!$B$3:$B$200=A51),1),""),"")</f>
        <v/>
      </c>
      <c r="J51" s="49">
        <f>IF(49&lt;=Tenure,IF(H51=0,0,IF(AND(I51&lt;&gt;"",I51&lt;&gt;0,I51&lt;C51),MIN(F51,MAX(0,H51-K51)-IFERROR(MIN(MAX(0,(MAX(0,H51-K51)-F51)/(1-MAX(0,C51-I51)*(AnnualRate/100))),E51,MAX(0,H51-K51)),0)),MIN(F51,MAX(0,H51-K51)))),"")</f>
        <v/>
      </c>
      <c r="K51" s="60">
        <f>IF(49&lt;=Tenure,IF(H51=0,0,MIN(E51,MAX(0,MAX(0,H51-K51)-L51))),"")</f>
        <v/>
      </c>
      <c r="L51" s="49">
        <f>IF(49&lt;=Tenure,MAX(0,F51+G51+J51-K51-L51-M51),"")</f>
        <v/>
      </c>
      <c r="M51" s="49">
        <f>IF(49&lt;=Tenure,IF(49=Tenure,0,MAX(0,E51-M51)),"")</f>
        <v/>
      </c>
      <c r="N51" s="19">
        <f>IF(49&gt;Tenure,"",IF(AND(H51&gt;0,H51&gt;=F51+G51+J51),"Paid",IF(AND(H51&gt;0,H51&lt;F51+G51),"Partial",IF(AND(H51=0,TODAY()&gt;C51),"Overdue","Pending"))))</f>
        <v/>
      </c>
      <c r="O51" s="61" t="n"/>
      <c r="P51" s="61" t="n"/>
      <c r="Q51" s="61" t="n"/>
      <c r="R51" s="62" t="n"/>
      <c r="S51" s="62" t="n"/>
    </row>
    <row r="52">
      <c r="A52" s="63">
        <f>IF(50&lt;=Tenure,50,"")</f>
        <v/>
      </c>
      <c r="B52" s="64">
        <f>IF(50&lt;=Tenure,C51,"")</f>
        <v/>
      </c>
      <c r="C52" s="65">
        <f>IF(50&lt;=Tenure,WORKDAY.INTL(EDATE(FirstPayDate,49)-1,1,1,ArmenianHolidays),"")</f>
        <v/>
      </c>
      <c r="D52" s="66">
        <f>IF(50&lt;=Tenure,IF(50=Tenure,C52-C51+1,C52-C51),"")</f>
        <v/>
      </c>
      <c r="E52" s="60">
        <f>IF(50&lt;=Tenure,O51,"")</f>
        <v/>
      </c>
      <c r="F52" s="49">
        <f>IF(50&lt;=Tenure,E52*D52*(AnnualRate/100),"")</f>
        <v/>
      </c>
      <c r="G52" s="49">
        <f>IF(50&lt;=Tenure,IF(50=Tenure,E52,EMI-F52),"")</f>
        <v/>
      </c>
      <c r="H52" s="60">
        <f>IF(50&lt;=Tenure,IFERROR(SUMIFS(Payments!$C:$C,Payments!$B:$B,A52),0),"")</f>
        <v/>
      </c>
      <c r="I52" s="64">
        <f>IF(50&lt;=Tenure,IFERROR(AGGREGATE(15,6,Payments!$A$3:$A$200/(Payments!$B$3:$B$200=A52),1),""),"")</f>
        <v/>
      </c>
      <c r="J52" s="49">
        <f>IF(50&lt;=Tenure,IF(H52=0,0,IF(AND(I52&lt;&gt;"",I52&lt;&gt;0,I52&lt;C52),MIN(F52,MAX(0,H52-K52)-IFERROR(MIN(MAX(0,(MAX(0,H52-K52)-F52)/(1-MAX(0,C52-I52)*(AnnualRate/100))),E52,MAX(0,H52-K52)),0)),MIN(F52,MAX(0,H52-K52)))),"")</f>
        <v/>
      </c>
      <c r="K52" s="60">
        <f>IF(50&lt;=Tenure,IF(H52=0,0,MIN(E52,MAX(0,MAX(0,H52-K52)-L52))),"")</f>
        <v/>
      </c>
      <c r="L52" s="49">
        <f>IF(50&lt;=Tenure,MAX(0,F52+G52+J52-K52-L52-M52),"")</f>
        <v/>
      </c>
      <c r="M52" s="49">
        <f>IF(50&lt;=Tenure,IF(50=Tenure,0,MAX(0,E52-M52)),"")</f>
        <v/>
      </c>
      <c r="N52" s="19">
        <f>IF(50&gt;Tenure,"",IF(AND(H52&gt;0,H52&gt;=F52+G52+J52),"Paid",IF(AND(H52&gt;0,H52&lt;F52+G52),"Partial",IF(AND(H52=0,TODAY()&gt;C52),"Overdue","Pending"))))</f>
        <v/>
      </c>
      <c r="O52" s="61" t="n"/>
      <c r="P52" s="61" t="n"/>
      <c r="Q52" s="61" t="n"/>
      <c r="R52" s="62" t="n"/>
      <c r="S52" s="62" t="n"/>
    </row>
    <row r="53">
      <c r="A53" s="63">
        <f>IF(51&lt;=Tenure,51,"")</f>
        <v/>
      </c>
      <c r="B53" s="64">
        <f>IF(51&lt;=Tenure,C52,"")</f>
        <v/>
      </c>
      <c r="C53" s="65">
        <f>IF(51&lt;=Tenure,WORKDAY.INTL(EDATE(FirstPayDate,50)-1,1,1,ArmenianHolidays),"")</f>
        <v/>
      </c>
      <c r="D53" s="66">
        <f>IF(51&lt;=Tenure,IF(51=Tenure,C53-C52+1,C53-C52),"")</f>
        <v/>
      </c>
      <c r="E53" s="60">
        <f>IF(51&lt;=Tenure,O52,"")</f>
        <v/>
      </c>
      <c r="F53" s="49">
        <f>IF(51&lt;=Tenure,E53*D53*(AnnualRate/100),"")</f>
        <v/>
      </c>
      <c r="G53" s="49">
        <f>IF(51&lt;=Tenure,IF(51=Tenure,E53,EMI-F53),"")</f>
        <v/>
      </c>
      <c r="H53" s="60">
        <f>IF(51&lt;=Tenure,IFERROR(SUMIFS(Payments!$C:$C,Payments!$B:$B,A53),0),"")</f>
        <v/>
      </c>
      <c r="I53" s="64">
        <f>IF(51&lt;=Tenure,IFERROR(AGGREGATE(15,6,Payments!$A$3:$A$200/(Payments!$B$3:$B$200=A53),1),""),"")</f>
        <v/>
      </c>
      <c r="J53" s="49">
        <f>IF(51&lt;=Tenure,IF(H53=0,0,IF(AND(I53&lt;&gt;"",I53&lt;&gt;0,I53&lt;C53),MIN(F53,MAX(0,H53-K53)-IFERROR(MIN(MAX(0,(MAX(0,H53-K53)-F53)/(1-MAX(0,C53-I53)*(AnnualRate/100))),E53,MAX(0,H53-K53)),0)),MIN(F53,MAX(0,H53-K53)))),"")</f>
        <v/>
      </c>
      <c r="K53" s="60">
        <f>IF(51&lt;=Tenure,IF(H53=0,0,MIN(E53,MAX(0,MAX(0,H53-K53)-L53))),"")</f>
        <v/>
      </c>
      <c r="L53" s="49">
        <f>IF(51&lt;=Tenure,MAX(0,F53+G53+J53-K53-L53-M53),"")</f>
        <v/>
      </c>
      <c r="M53" s="49">
        <f>IF(51&lt;=Tenure,IF(51=Tenure,0,MAX(0,E53-M53)),"")</f>
        <v/>
      </c>
      <c r="N53" s="19">
        <f>IF(51&gt;Tenure,"",IF(AND(H53&gt;0,H53&gt;=F53+G53+J53),"Paid",IF(AND(H53&gt;0,H53&lt;F53+G53),"Partial",IF(AND(H53=0,TODAY()&gt;C53),"Overdue","Pending"))))</f>
        <v/>
      </c>
      <c r="O53" s="61" t="n"/>
      <c r="P53" s="61" t="n"/>
      <c r="Q53" s="61" t="n"/>
      <c r="R53" s="62" t="n"/>
      <c r="S53" s="62" t="n"/>
    </row>
    <row r="54">
      <c r="A54" s="63">
        <f>IF(52&lt;=Tenure,52,"")</f>
        <v/>
      </c>
      <c r="B54" s="64">
        <f>IF(52&lt;=Tenure,C53,"")</f>
        <v/>
      </c>
      <c r="C54" s="65">
        <f>IF(52&lt;=Tenure,WORKDAY.INTL(EDATE(FirstPayDate,51)-1,1,1,ArmenianHolidays),"")</f>
        <v/>
      </c>
      <c r="D54" s="66">
        <f>IF(52&lt;=Tenure,IF(52=Tenure,C54-C53+1,C54-C53),"")</f>
        <v/>
      </c>
      <c r="E54" s="60">
        <f>IF(52&lt;=Tenure,O53,"")</f>
        <v/>
      </c>
      <c r="F54" s="49">
        <f>IF(52&lt;=Tenure,E54*D54*(AnnualRate/100),"")</f>
        <v/>
      </c>
      <c r="G54" s="49">
        <f>IF(52&lt;=Tenure,IF(52=Tenure,E54,EMI-F54),"")</f>
        <v/>
      </c>
      <c r="H54" s="60">
        <f>IF(52&lt;=Tenure,IFERROR(SUMIFS(Payments!$C:$C,Payments!$B:$B,A54),0),"")</f>
        <v/>
      </c>
      <c r="I54" s="64">
        <f>IF(52&lt;=Tenure,IFERROR(AGGREGATE(15,6,Payments!$A$3:$A$200/(Payments!$B$3:$B$200=A54),1),""),"")</f>
        <v/>
      </c>
      <c r="J54" s="49">
        <f>IF(52&lt;=Tenure,IF(H54=0,0,IF(AND(I54&lt;&gt;"",I54&lt;&gt;0,I54&lt;C54),MIN(F54,MAX(0,H54-K54)-IFERROR(MIN(MAX(0,(MAX(0,H54-K54)-F54)/(1-MAX(0,C54-I54)*(AnnualRate/100))),E54,MAX(0,H54-K54)),0)),MIN(F54,MAX(0,H54-K54)))),"")</f>
        <v/>
      </c>
      <c r="K54" s="60">
        <f>IF(52&lt;=Tenure,IF(H54=0,0,MIN(E54,MAX(0,MAX(0,H54-K54)-L54))),"")</f>
        <v/>
      </c>
      <c r="L54" s="49">
        <f>IF(52&lt;=Tenure,MAX(0,F54+G54+J54-K54-L54-M54),"")</f>
        <v/>
      </c>
      <c r="M54" s="49">
        <f>IF(52&lt;=Tenure,IF(52=Tenure,0,MAX(0,E54-M54)),"")</f>
        <v/>
      </c>
      <c r="N54" s="19">
        <f>IF(52&gt;Tenure,"",IF(AND(H54&gt;0,H54&gt;=F54+G54+J54),"Paid",IF(AND(H54&gt;0,H54&lt;F54+G54),"Partial",IF(AND(H54=0,TODAY()&gt;C54),"Overdue","Pending"))))</f>
        <v/>
      </c>
      <c r="O54" s="61" t="n"/>
      <c r="P54" s="61" t="n"/>
      <c r="Q54" s="61" t="n"/>
      <c r="R54" s="62" t="n"/>
      <c r="S54" s="62" t="n"/>
    </row>
    <row r="55">
      <c r="A55" s="63">
        <f>IF(53&lt;=Tenure,53,"")</f>
        <v/>
      </c>
      <c r="B55" s="64">
        <f>IF(53&lt;=Tenure,C54,"")</f>
        <v/>
      </c>
      <c r="C55" s="65">
        <f>IF(53&lt;=Tenure,WORKDAY.INTL(EDATE(FirstPayDate,52)-1,1,1,ArmenianHolidays),"")</f>
        <v/>
      </c>
      <c r="D55" s="66">
        <f>IF(53&lt;=Tenure,IF(53=Tenure,C55-C54+1,C55-C54),"")</f>
        <v/>
      </c>
      <c r="E55" s="60">
        <f>IF(53&lt;=Tenure,O54,"")</f>
        <v/>
      </c>
      <c r="F55" s="49">
        <f>IF(53&lt;=Tenure,E55*D55*(AnnualRate/100),"")</f>
        <v/>
      </c>
      <c r="G55" s="49">
        <f>IF(53&lt;=Tenure,IF(53=Tenure,E55,EMI-F55),"")</f>
        <v/>
      </c>
      <c r="H55" s="60">
        <f>IF(53&lt;=Tenure,IFERROR(SUMIFS(Payments!$C:$C,Payments!$B:$B,A55),0),"")</f>
        <v/>
      </c>
      <c r="I55" s="64">
        <f>IF(53&lt;=Tenure,IFERROR(AGGREGATE(15,6,Payments!$A$3:$A$200/(Payments!$B$3:$B$200=A55),1),""),"")</f>
        <v/>
      </c>
      <c r="J55" s="49">
        <f>IF(53&lt;=Tenure,IF(H55=0,0,IF(AND(I55&lt;&gt;"",I55&lt;&gt;0,I55&lt;C55),MIN(F55,MAX(0,H55-K55)-IFERROR(MIN(MAX(0,(MAX(0,H55-K55)-F55)/(1-MAX(0,C55-I55)*(AnnualRate/100))),E55,MAX(0,H55-K55)),0)),MIN(F55,MAX(0,H55-K55)))),"")</f>
        <v/>
      </c>
      <c r="K55" s="60">
        <f>IF(53&lt;=Tenure,IF(H55=0,0,MIN(E55,MAX(0,MAX(0,H55-K55)-L55))),"")</f>
        <v/>
      </c>
      <c r="L55" s="49">
        <f>IF(53&lt;=Tenure,MAX(0,F55+G55+J55-K55-L55-M55),"")</f>
        <v/>
      </c>
      <c r="M55" s="49">
        <f>IF(53&lt;=Tenure,IF(53=Tenure,0,MAX(0,E55-M55)),"")</f>
        <v/>
      </c>
      <c r="N55" s="19">
        <f>IF(53&gt;Tenure,"",IF(AND(H55&gt;0,H55&gt;=F55+G55+J55),"Paid",IF(AND(H55&gt;0,H55&lt;F55+G55),"Partial",IF(AND(H55=0,TODAY()&gt;C55),"Overdue","Pending"))))</f>
        <v/>
      </c>
      <c r="O55" s="61" t="n"/>
      <c r="P55" s="61" t="n"/>
      <c r="Q55" s="61" t="n"/>
      <c r="R55" s="62" t="n"/>
      <c r="S55" s="62" t="n"/>
    </row>
    <row r="56">
      <c r="A56" s="63">
        <f>IF(54&lt;=Tenure,54,"")</f>
        <v/>
      </c>
      <c r="B56" s="64">
        <f>IF(54&lt;=Tenure,C55,"")</f>
        <v/>
      </c>
      <c r="C56" s="65">
        <f>IF(54&lt;=Tenure,WORKDAY.INTL(EDATE(FirstPayDate,53)-1,1,1,ArmenianHolidays),"")</f>
        <v/>
      </c>
      <c r="D56" s="66">
        <f>IF(54&lt;=Tenure,IF(54=Tenure,C56-C55+1,C56-C55),"")</f>
        <v/>
      </c>
      <c r="E56" s="60">
        <f>IF(54&lt;=Tenure,O55,"")</f>
        <v/>
      </c>
      <c r="F56" s="49">
        <f>IF(54&lt;=Tenure,E56*D56*(AnnualRate/100),"")</f>
        <v/>
      </c>
      <c r="G56" s="49">
        <f>IF(54&lt;=Tenure,IF(54=Tenure,E56,EMI-F56),"")</f>
        <v/>
      </c>
      <c r="H56" s="60">
        <f>IF(54&lt;=Tenure,IFERROR(SUMIFS(Payments!$C:$C,Payments!$B:$B,A56),0),"")</f>
        <v/>
      </c>
      <c r="I56" s="64">
        <f>IF(54&lt;=Tenure,IFERROR(AGGREGATE(15,6,Payments!$A$3:$A$200/(Payments!$B$3:$B$200=A56),1),""),"")</f>
        <v/>
      </c>
      <c r="J56" s="49">
        <f>IF(54&lt;=Tenure,IF(H56=0,0,IF(AND(I56&lt;&gt;"",I56&lt;&gt;0,I56&lt;C56),MIN(F56,MAX(0,H56-K56)-IFERROR(MIN(MAX(0,(MAX(0,H56-K56)-F56)/(1-MAX(0,C56-I56)*(AnnualRate/100))),E56,MAX(0,H56-K56)),0)),MIN(F56,MAX(0,H56-K56)))),"")</f>
        <v/>
      </c>
      <c r="K56" s="60">
        <f>IF(54&lt;=Tenure,IF(H56=0,0,MIN(E56,MAX(0,MAX(0,H56-K56)-L56))),"")</f>
        <v/>
      </c>
      <c r="L56" s="49">
        <f>IF(54&lt;=Tenure,MAX(0,F56+G56+J56-K56-L56-M56),"")</f>
        <v/>
      </c>
      <c r="M56" s="49">
        <f>IF(54&lt;=Tenure,IF(54=Tenure,0,MAX(0,E56-M56)),"")</f>
        <v/>
      </c>
      <c r="N56" s="19">
        <f>IF(54&gt;Tenure,"",IF(AND(H56&gt;0,H56&gt;=F56+G56+J56),"Paid",IF(AND(H56&gt;0,H56&lt;F56+G56),"Partial",IF(AND(H56=0,TODAY()&gt;C56),"Overdue","Pending"))))</f>
        <v/>
      </c>
      <c r="O56" s="61" t="n"/>
      <c r="P56" s="61" t="n"/>
      <c r="Q56" s="61" t="n"/>
      <c r="R56" s="62" t="n"/>
      <c r="S56" s="62" t="n"/>
    </row>
    <row r="57">
      <c r="A57" s="63">
        <f>IF(55&lt;=Tenure,55,"")</f>
        <v/>
      </c>
      <c r="B57" s="64">
        <f>IF(55&lt;=Tenure,C56,"")</f>
        <v/>
      </c>
      <c r="C57" s="65">
        <f>IF(55&lt;=Tenure,WORKDAY.INTL(EDATE(FirstPayDate,54)-1,1,1,ArmenianHolidays),"")</f>
        <v/>
      </c>
      <c r="D57" s="66">
        <f>IF(55&lt;=Tenure,IF(55=Tenure,C57-C56+1,C57-C56),"")</f>
        <v/>
      </c>
      <c r="E57" s="60">
        <f>IF(55&lt;=Tenure,O56,"")</f>
        <v/>
      </c>
      <c r="F57" s="49">
        <f>IF(55&lt;=Tenure,E57*D57*(AnnualRate/100),"")</f>
        <v/>
      </c>
      <c r="G57" s="49">
        <f>IF(55&lt;=Tenure,IF(55=Tenure,E57,EMI-F57),"")</f>
        <v/>
      </c>
      <c r="H57" s="60">
        <f>IF(55&lt;=Tenure,IFERROR(SUMIFS(Payments!$C:$C,Payments!$B:$B,A57),0),"")</f>
        <v/>
      </c>
      <c r="I57" s="64">
        <f>IF(55&lt;=Tenure,IFERROR(AGGREGATE(15,6,Payments!$A$3:$A$200/(Payments!$B$3:$B$200=A57),1),""),"")</f>
        <v/>
      </c>
      <c r="J57" s="49">
        <f>IF(55&lt;=Tenure,IF(H57=0,0,IF(AND(I57&lt;&gt;"",I57&lt;&gt;0,I57&lt;C57),MIN(F57,MAX(0,H57-K57)-IFERROR(MIN(MAX(0,(MAX(0,H57-K57)-F57)/(1-MAX(0,C57-I57)*(AnnualRate/100))),E57,MAX(0,H57-K57)),0)),MIN(F57,MAX(0,H57-K57)))),"")</f>
        <v/>
      </c>
      <c r="K57" s="60">
        <f>IF(55&lt;=Tenure,IF(H57=0,0,MIN(E57,MAX(0,MAX(0,H57-K57)-L57))),"")</f>
        <v/>
      </c>
      <c r="L57" s="49">
        <f>IF(55&lt;=Tenure,MAX(0,F57+G57+J57-K57-L57-M57),"")</f>
        <v/>
      </c>
      <c r="M57" s="49">
        <f>IF(55&lt;=Tenure,IF(55=Tenure,0,MAX(0,E57-M57)),"")</f>
        <v/>
      </c>
      <c r="N57" s="19">
        <f>IF(55&gt;Tenure,"",IF(AND(H57&gt;0,H57&gt;=F57+G57+J57),"Paid",IF(AND(H57&gt;0,H57&lt;F57+G57),"Partial",IF(AND(H57=0,TODAY()&gt;C57),"Overdue","Pending"))))</f>
        <v/>
      </c>
      <c r="O57" s="61" t="n"/>
      <c r="P57" s="61" t="n"/>
      <c r="Q57" s="61" t="n"/>
      <c r="R57" s="62" t="n"/>
      <c r="S57" s="62" t="n"/>
    </row>
    <row r="58">
      <c r="A58" s="63">
        <f>IF(56&lt;=Tenure,56,"")</f>
        <v/>
      </c>
      <c r="B58" s="64">
        <f>IF(56&lt;=Tenure,C57,"")</f>
        <v/>
      </c>
      <c r="C58" s="65">
        <f>IF(56&lt;=Tenure,WORKDAY.INTL(EDATE(FirstPayDate,55)-1,1,1,ArmenianHolidays),"")</f>
        <v/>
      </c>
      <c r="D58" s="66">
        <f>IF(56&lt;=Tenure,IF(56=Tenure,C58-C57+1,C58-C57),"")</f>
        <v/>
      </c>
      <c r="E58" s="60">
        <f>IF(56&lt;=Tenure,O57,"")</f>
        <v/>
      </c>
      <c r="F58" s="49">
        <f>IF(56&lt;=Tenure,E58*D58*(AnnualRate/100),"")</f>
        <v/>
      </c>
      <c r="G58" s="49">
        <f>IF(56&lt;=Tenure,IF(56=Tenure,E58,EMI-F58),"")</f>
        <v/>
      </c>
      <c r="H58" s="60">
        <f>IF(56&lt;=Tenure,IFERROR(SUMIFS(Payments!$C:$C,Payments!$B:$B,A58),0),"")</f>
        <v/>
      </c>
      <c r="I58" s="64">
        <f>IF(56&lt;=Tenure,IFERROR(AGGREGATE(15,6,Payments!$A$3:$A$200/(Payments!$B$3:$B$200=A58),1),""),"")</f>
        <v/>
      </c>
      <c r="J58" s="49">
        <f>IF(56&lt;=Tenure,IF(H58=0,0,IF(AND(I58&lt;&gt;"",I58&lt;&gt;0,I58&lt;C58),MIN(F58,MAX(0,H58-K58)-IFERROR(MIN(MAX(0,(MAX(0,H58-K58)-F58)/(1-MAX(0,C58-I58)*(AnnualRate/100))),E58,MAX(0,H58-K58)),0)),MIN(F58,MAX(0,H58-K58)))),"")</f>
        <v/>
      </c>
      <c r="K58" s="60">
        <f>IF(56&lt;=Tenure,IF(H58=0,0,MIN(E58,MAX(0,MAX(0,H58-K58)-L58))),"")</f>
        <v/>
      </c>
      <c r="L58" s="49">
        <f>IF(56&lt;=Tenure,MAX(0,F58+G58+J58-K58-L58-M58),"")</f>
        <v/>
      </c>
      <c r="M58" s="49">
        <f>IF(56&lt;=Tenure,IF(56=Tenure,0,MAX(0,E58-M58)),"")</f>
        <v/>
      </c>
      <c r="N58" s="19">
        <f>IF(56&gt;Tenure,"",IF(AND(H58&gt;0,H58&gt;=F58+G58+J58),"Paid",IF(AND(H58&gt;0,H58&lt;F58+G58),"Partial",IF(AND(H58=0,TODAY()&gt;C58),"Overdue","Pending"))))</f>
        <v/>
      </c>
      <c r="O58" s="61" t="n"/>
      <c r="P58" s="61" t="n"/>
      <c r="Q58" s="61" t="n"/>
      <c r="R58" s="62" t="n"/>
      <c r="S58" s="62" t="n"/>
    </row>
    <row r="59">
      <c r="A59" s="63">
        <f>IF(57&lt;=Tenure,57,"")</f>
        <v/>
      </c>
      <c r="B59" s="64">
        <f>IF(57&lt;=Tenure,C58,"")</f>
        <v/>
      </c>
      <c r="C59" s="65">
        <f>IF(57&lt;=Tenure,WORKDAY.INTL(EDATE(FirstPayDate,56)-1,1,1,ArmenianHolidays),"")</f>
        <v/>
      </c>
      <c r="D59" s="66">
        <f>IF(57&lt;=Tenure,IF(57=Tenure,C59-C58+1,C59-C58),"")</f>
        <v/>
      </c>
      <c r="E59" s="60">
        <f>IF(57&lt;=Tenure,O58,"")</f>
        <v/>
      </c>
      <c r="F59" s="49">
        <f>IF(57&lt;=Tenure,E59*D59*(AnnualRate/100),"")</f>
        <v/>
      </c>
      <c r="G59" s="49">
        <f>IF(57&lt;=Tenure,IF(57=Tenure,E59,EMI-F59),"")</f>
        <v/>
      </c>
      <c r="H59" s="60">
        <f>IF(57&lt;=Tenure,IFERROR(SUMIFS(Payments!$C:$C,Payments!$B:$B,A59),0),"")</f>
        <v/>
      </c>
      <c r="I59" s="64">
        <f>IF(57&lt;=Tenure,IFERROR(AGGREGATE(15,6,Payments!$A$3:$A$200/(Payments!$B$3:$B$200=A59),1),""),"")</f>
        <v/>
      </c>
      <c r="J59" s="49">
        <f>IF(57&lt;=Tenure,IF(H59=0,0,IF(AND(I59&lt;&gt;"",I59&lt;&gt;0,I59&lt;C59),MIN(F59,MAX(0,H59-K59)-IFERROR(MIN(MAX(0,(MAX(0,H59-K59)-F59)/(1-MAX(0,C59-I59)*(AnnualRate/100))),E59,MAX(0,H59-K59)),0)),MIN(F59,MAX(0,H59-K59)))),"")</f>
        <v/>
      </c>
      <c r="K59" s="60">
        <f>IF(57&lt;=Tenure,IF(H59=0,0,MIN(E59,MAX(0,MAX(0,H59-K59)-L59))),"")</f>
        <v/>
      </c>
      <c r="L59" s="49">
        <f>IF(57&lt;=Tenure,MAX(0,F59+G59+J59-K59-L59-M59),"")</f>
        <v/>
      </c>
      <c r="M59" s="49">
        <f>IF(57&lt;=Tenure,IF(57=Tenure,0,MAX(0,E59-M59)),"")</f>
        <v/>
      </c>
      <c r="N59" s="19">
        <f>IF(57&gt;Tenure,"",IF(AND(H59&gt;0,H59&gt;=F59+G59+J59),"Paid",IF(AND(H59&gt;0,H59&lt;F59+G59),"Partial",IF(AND(H59=0,TODAY()&gt;C59),"Overdue","Pending"))))</f>
        <v/>
      </c>
      <c r="O59" s="61" t="n"/>
      <c r="P59" s="61" t="n"/>
      <c r="Q59" s="61" t="n"/>
      <c r="R59" s="62" t="n"/>
      <c r="S59" s="62" t="n"/>
    </row>
    <row r="60">
      <c r="A60" s="63">
        <f>IF(58&lt;=Tenure,58,"")</f>
        <v/>
      </c>
      <c r="B60" s="64">
        <f>IF(58&lt;=Tenure,C59,"")</f>
        <v/>
      </c>
      <c r="C60" s="65">
        <f>IF(58&lt;=Tenure,WORKDAY.INTL(EDATE(FirstPayDate,57)-1,1,1,ArmenianHolidays),"")</f>
        <v/>
      </c>
      <c r="D60" s="66">
        <f>IF(58&lt;=Tenure,IF(58=Tenure,C60-C59+1,C60-C59),"")</f>
        <v/>
      </c>
      <c r="E60" s="60">
        <f>IF(58&lt;=Tenure,O59,"")</f>
        <v/>
      </c>
      <c r="F60" s="49">
        <f>IF(58&lt;=Tenure,E60*D60*(AnnualRate/100),"")</f>
        <v/>
      </c>
      <c r="G60" s="49">
        <f>IF(58&lt;=Tenure,IF(58=Tenure,E60,EMI-F60),"")</f>
        <v/>
      </c>
      <c r="H60" s="60">
        <f>IF(58&lt;=Tenure,IFERROR(SUMIFS(Payments!$C:$C,Payments!$B:$B,A60),0),"")</f>
        <v/>
      </c>
      <c r="I60" s="64">
        <f>IF(58&lt;=Tenure,IFERROR(AGGREGATE(15,6,Payments!$A$3:$A$200/(Payments!$B$3:$B$200=A60),1),""),"")</f>
        <v/>
      </c>
      <c r="J60" s="49">
        <f>IF(58&lt;=Tenure,IF(H60=0,0,IF(AND(I60&lt;&gt;"",I60&lt;&gt;0,I60&lt;C60),MIN(F60,MAX(0,H60-K60)-IFERROR(MIN(MAX(0,(MAX(0,H60-K60)-F60)/(1-MAX(0,C60-I60)*(AnnualRate/100))),E60,MAX(0,H60-K60)),0)),MIN(F60,MAX(0,H60-K60)))),"")</f>
        <v/>
      </c>
      <c r="K60" s="60">
        <f>IF(58&lt;=Tenure,IF(H60=0,0,MIN(E60,MAX(0,MAX(0,H60-K60)-L60))),"")</f>
        <v/>
      </c>
      <c r="L60" s="49">
        <f>IF(58&lt;=Tenure,MAX(0,F60+G60+J60-K60-L60-M60),"")</f>
        <v/>
      </c>
      <c r="M60" s="49">
        <f>IF(58&lt;=Tenure,IF(58=Tenure,0,MAX(0,E60-M60)),"")</f>
        <v/>
      </c>
      <c r="N60" s="19">
        <f>IF(58&gt;Tenure,"",IF(AND(H60&gt;0,H60&gt;=F60+G60+J60),"Paid",IF(AND(H60&gt;0,H60&lt;F60+G60),"Partial",IF(AND(H60=0,TODAY()&gt;C60),"Overdue","Pending"))))</f>
        <v/>
      </c>
      <c r="O60" s="61" t="n"/>
      <c r="P60" s="61" t="n"/>
      <c r="Q60" s="61" t="n"/>
      <c r="R60" s="62" t="n"/>
      <c r="S60" s="62" t="n"/>
    </row>
    <row r="61">
      <c r="A61" s="63">
        <f>IF(59&lt;=Tenure,59,"")</f>
        <v/>
      </c>
      <c r="B61" s="64">
        <f>IF(59&lt;=Tenure,C60,"")</f>
        <v/>
      </c>
      <c r="C61" s="65">
        <f>IF(59&lt;=Tenure,WORKDAY.INTL(EDATE(FirstPayDate,58)-1,1,1,ArmenianHolidays),"")</f>
        <v/>
      </c>
      <c r="D61" s="66">
        <f>IF(59&lt;=Tenure,IF(59=Tenure,C61-C60+1,C61-C60),"")</f>
        <v/>
      </c>
      <c r="E61" s="60">
        <f>IF(59&lt;=Tenure,O60,"")</f>
        <v/>
      </c>
      <c r="F61" s="49">
        <f>IF(59&lt;=Tenure,E61*D61*(AnnualRate/100),"")</f>
        <v/>
      </c>
      <c r="G61" s="49">
        <f>IF(59&lt;=Tenure,IF(59=Tenure,E61,EMI-F61),"")</f>
        <v/>
      </c>
      <c r="H61" s="60">
        <f>IF(59&lt;=Tenure,IFERROR(SUMIFS(Payments!$C:$C,Payments!$B:$B,A61),0),"")</f>
        <v/>
      </c>
      <c r="I61" s="64">
        <f>IF(59&lt;=Tenure,IFERROR(AGGREGATE(15,6,Payments!$A$3:$A$200/(Payments!$B$3:$B$200=A61),1),""),"")</f>
        <v/>
      </c>
      <c r="J61" s="49">
        <f>IF(59&lt;=Tenure,IF(H61=0,0,IF(AND(I61&lt;&gt;"",I61&lt;&gt;0,I61&lt;C61),MIN(F61,MAX(0,H61-K61)-IFERROR(MIN(MAX(0,(MAX(0,H61-K61)-F61)/(1-MAX(0,C61-I61)*(AnnualRate/100))),E61,MAX(0,H61-K61)),0)),MIN(F61,MAX(0,H61-K61)))),"")</f>
        <v/>
      </c>
      <c r="K61" s="60">
        <f>IF(59&lt;=Tenure,IF(H61=0,0,MIN(E61,MAX(0,MAX(0,H61-K61)-L61))),"")</f>
        <v/>
      </c>
      <c r="L61" s="49">
        <f>IF(59&lt;=Tenure,MAX(0,F61+G61+J61-K61-L61-M61),"")</f>
        <v/>
      </c>
      <c r="M61" s="49">
        <f>IF(59&lt;=Tenure,IF(59=Tenure,0,MAX(0,E61-M61)),"")</f>
        <v/>
      </c>
      <c r="N61" s="19">
        <f>IF(59&gt;Tenure,"",IF(AND(H61&gt;0,H61&gt;=F61+G61+J61),"Paid",IF(AND(H61&gt;0,H61&lt;F61+G61),"Partial",IF(AND(H61=0,TODAY()&gt;C61),"Overdue","Pending"))))</f>
        <v/>
      </c>
      <c r="O61" s="61" t="n"/>
      <c r="P61" s="61" t="n"/>
      <c r="Q61" s="61" t="n"/>
      <c r="R61" s="62" t="n"/>
      <c r="S61" s="62" t="n"/>
    </row>
    <row r="62">
      <c r="A62" s="63">
        <f>IF(60&lt;=Tenure,60,"")</f>
        <v/>
      </c>
      <c r="B62" s="64">
        <f>IF(60&lt;=Tenure,C61,"")</f>
        <v/>
      </c>
      <c r="C62" s="65">
        <f>IF(60&lt;=Tenure,WORKDAY.INTL(EDATE(FirstPayDate,59)-1,1,1,ArmenianHolidays),"")</f>
        <v/>
      </c>
      <c r="D62" s="66">
        <f>IF(60&lt;=Tenure,IF(60=Tenure,C62-C61+1,C62-C61),"")</f>
        <v/>
      </c>
      <c r="E62" s="60">
        <f>IF(60&lt;=Tenure,O61,"")</f>
        <v/>
      </c>
      <c r="F62" s="49">
        <f>IF(60&lt;=Tenure,E62*D62*(AnnualRate/100),"")</f>
        <v/>
      </c>
      <c r="G62" s="49">
        <f>IF(60&lt;=Tenure,IF(60=Tenure,E62,EMI-F62),"")</f>
        <v/>
      </c>
      <c r="H62" s="60">
        <f>IF(60&lt;=Tenure,IFERROR(SUMIFS(Payments!$C:$C,Payments!$B:$B,A62),0),"")</f>
        <v/>
      </c>
      <c r="I62" s="64">
        <f>IF(60&lt;=Tenure,IFERROR(AGGREGATE(15,6,Payments!$A$3:$A$200/(Payments!$B$3:$B$200=A62),1),""),"")</f>
        <v/>
      </c>
      <c r="J62" s="49">
        <f>IF(60&lt;=Tenure,IF(H62=0,0,IF(AND(I62&lt;&gt;"",I62&lt;&gt;0,I62&lt;C62),MIN(F62,MAX(0,H62-K62)-IFERROR(MIN(MAX(0,(MAX(0,H62-K62)-F62)/(1-MAX(0,C62-I62)*(AnnualRate/100))),E62,MAX(0,H62-K62)),0)),MIN(F62,MAX(0,H62-K62)))),"")</f>
        <v/>
      </c>
      <c r="K62" s="60">
        <f>IF(60&lt;=Tenure,IF(H62=0,0,MIN(E62,MAX(0,MAX(0,H62-K62)-L62))),"")</f>
        <v/>
      </c>
      <c r="L62" s="49">
        <f>IF(60&lt;=Tenure,MAX(0,F62+G62+J62-K62-L62-M62),"")</f>
        <v/>
      </c>
      <c r="M62" s="49">
        <f>IF(60&lt;=Tenure,IF(60=Tenure,0,MAX(0,E62-M62)),"")</f>
        <v/>
      </c>
      <c r="N62" s="19">
        <f>IF(60&gt;Tenure,"",IF(AND(H62&gt;0,H62&gt;=F62+G62+J62),"Paid",IF(AND(H62&gt;0,H62&lt;F62+G62),"Partial",IF(AND(H62=0,TODAY()&gt;C62),"Overdue","Pending"))))</f>
        <v/>
      </c>
      <c r="O62" s="61" t="n"/>
      <c r="P62" s="61" t="n"/>
      <c r="Q62" s="61" t="n"/>
      <c r="R62" s="62" t="n"/>
      <c r="S62" s="62" t="n"/>
    </row>
    <row r="63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1" t="n"/>
      <c r="N63" s="61" t="n"/>
      <c r="O63" s="61" t="n"/>
      <c r="P63" s="61" t="n"/>
      <c r="Q63" s="61" t="n"/>
      <c r="R63" s="62" t="n"/>
      <c r="S63" s="62" t="n"/>
    </row>
    <row r="64">
      <c r="A64" s="61" t="n"/>
      <c r="B64" s="61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1" t="n"/>
      <c r="N64" s="61" t="n"/>
      <c r="O64" s="61" t="n"/>
      <c r="P64" s="61" t="n"/>
      <c r="Q64" s="61" t="n"/>
      <c r="R64" s="62" t="n"/>
      <c r="S64" s="62" t="n"/>
    </row>
    <row r="65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1" t="n"/>
      <c r="N65" s="61" t="n"/>
      <c r="O65" s="61" t="n"/>
      <c r="P65" s="61" t="n"/>
      <c r="Q65" s="61" t="n"/>
      <c r="R65" s="62" t="n"/>
      <c r="S65" s="62" t="n"/>
    </row>
  </sheetData>
  <mergeCells count="1">
    <mergeCell ref="A1:Q1"/>
  </mergeCells>
  <conditionalFormatting sqref="A3:P62">
    <cfRule type="expression" priority="1" dxfId="0">
      <formula>$P3="Overdue"</formula>
    </cfRule>
    <cfRule type="expression" priority="2" dxfId="1">
      <formula>$P3="Partial"</formula>
    </cfRule>
    <cfRule type="expression" priority="3" dxfId="2">
      <formula>$P3="Paid"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F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30" customWidth="1" min="5" max="5"/>
    <col width="18" customWidth="1" min="6" max="6"/>
  </cols>
  <sheetData>
    <row r="1" ht="26" customHeight="1">
      <c r="A1" s="17" t="inlineStr">
        <is>
          <t>PAYMENT ENTRY TABLE</t>
        </is>
      </c>
    </row>
    <row r="2">
      <c r="A2" s="4" t="inlineStr">
        <is>
          <t>Payment Date</t>
        </is>
      </c>
      <c r="B2" s="4" t="inlineStr">
        <is>
          <t>Installment #</t>
        </is>
      </c>
      <c r="C2" s="4" t="inlineStr">
        <is>
          <t>Amount</t>
        </is>
      </c>
      <c r="D2" s="4" t="inlineStr">
        <is>
          <t>Notes</t>
        </is>
      </c>
      <c r="E2" s="4" t="inlineStr">
        <is>
          <t>Allocation Check</t>
        </is>
      </c>
      <c r="F2" s="4" t="n"/>
    </row>
    <row r="3">
      <c r="A3" s="56" t="n">
        <v>45703</v>
      </c>
      <c r="B3" s="12" t="n"/>
      <c r="C3" s="57">
        <f>EMI</f>
        <v/>
      </c>
      <c r="D3" s="12" t="inlineStr">
        <is>
          <t>On-time month 1</t>
        </is>
      </c>
      <c r="E3" s="12">
        <f>IFERROR("Pen: "&amp;TEXT(VLOOKUP(B3,Schedule!$A:$P,11,0),"#,##0.000")&amp;" | Int: "&amp;TEXT(VLOOKUP(B3,Schedule!$A:$P,12,0),"#,##0.000")&amp;" | Prin: "&amp;TEXT(VLOOKUP(B3,Schedule!$A:$P,13,0),"#,##0.000"),"")</f>
        <v/>
      </c>
      <c r="F3" s="27" t="n"/>
    </row>
    <row r="4">
      <c r="A4" s="56" t="n">
        <v>45736</v>
      </c>
      <c r="B4" s="12" t="n"/>
      <c r="C4" s="57">
        <f>EMI/2</f>
        <v/>
      </c>
      <c r="D4" s="12" t="inlineStr">
        <is>
          <t>Partial — 50% — 5 days late</t>
        </is>
      </c>
      <c r="E4" s="12">
        <f>IFERROR("Pen: "&amp;TEXT(VLOOKUP(B4,Schedule!$A:$P,11,0),"#,##0.000")&amp;" | Int: "&amp;TEXT(VLOOKUP(B4,Schedule!$A:$P,12,0),"#,##0.000")&amp;" | Prin: "&amp;TEXT(VLOOKUP(B4,Schedule!$A:$P,13,0),"#,##0.000"),"")</f>
        <v/>
      </c>
      <c r="F4" s="27" t="n"/>
    </row>
    <row r="5">
      <c r="A5" s="56" t="n">
        <v>45762</v>
      </c>
      <c r="B5" s="12" t="n"/>
      <c r="C5" s="57">
        <f>EMI*2</f>
        <v/>
      </c>
      <c r="D5" s="12" t="inlineStr">
        <is>
          <t>Double payment — extra principal</t>
        </is>
      </c>
      <c r="E5" s="12">
        <f>IFERROR("Pen: "&amp;TEXT(VLOOKUP(B5,Schedule!$A:$P,11,0),"#,##0.000")&amp;" | Int: "&amp;TEXT(VLOOKUP(B5,Schedule!$A:$P,12,0),"#,##0.000")&amp;" | Prin: "&amp;TEXT(VLOOKUP(B5,Schedule!$A:$P,13,0),"#,##0.000"),"")</f>
        <v/>
      </c>
      <c r="F5" s="27" t="n"/>
    </row>
    <row r="6">
      <c r="A6" s="58" t="n"/>
      <c r="B6" s="29" t="n"/>
      <c r="C6" s="59" t="n"/>
      <c r="D6" s="29" t="n"/>
      <c r="E6" s="29" t="n"/>
      <c r="F6" s="27" t="n"/>
    </row>
    <row r="7">
      <c r="A7" s="58" t="n"/>
      <c r="B7" s="29" t="n"/>
      <c r="C7" s="59" t="n"/>
      <c r="D7" s="29" t="n"/>
      <c r="E7" s="29" t="n"/>
      <c r="F7" s="27" t="n"/>
    </row>
    <row r="8">
      <c r="A8" s="58" t="n"/>
      <c r="B8" s="29" t="n"/>
      <c r="C8" s="59" t="n"/>
      <c r="D8" s="29" t="n"/>
      <c r="E8" s="29" t="n"/>
      <c r="F8" s="27" t="n"/>
    </row>
    <row r="9">
      <c r="A9" s="58" t="n"/>
      <c r="B9" s="29" t="n"/>
      <c r="C9" s="59" t="n"/>
      <c r="D9" s="29" t="n"/>
      <c r="E9" s="29" t="n"/>
      <c r="F9" s="27" t="n"/>
    </row>
    <row r="10">
      <c r="A10" s="58" t="n"/>
      <c r="B10" s="29" t="n"/>
      <c r="C10" s="59" t="n"/>
      <c r="D10" s="29" t="n"/>
      <c r="E10" s="29" t="n"/>
      <c r="F10" s="27" t="n"/>
    </row>
    <row r="11">
      <c r="A11" s="58" t="n"/>
      <c r="B11" s="29" t="n"/>
      <c r="C11" s="59" t="n"/>
      <c r="D11" s="29" t="n"/>
      <c r="E11" s="29" t="n"/>
      <c r="F11" s="27" t="n"/>
    </row>
    <row r="12">
      <c r="A12" s="58" t="n"/>
      <c r="B12" s="29" t="n"/>
      <c r="C12" s="59" t="n"/>
      <c r="D12" s="29" t="n"/>
      <c r="E12" s="29" t="n"/>
      <c r="F12" s="27" t="n"/>
    </row>
    <row r="13">
      <c r="A13" s="58" t="n"/>
      <c r="B13" s="29" t="n"/>
      <c r="C13" s="59" t="n"/>
      <c r="D13" s="29" t="n"/>
      <c r="E13" s="29" t="n"/>
      <c r="F13" s="27" t="n"/>
    </row>
    <row r="14">
      <c r="A14" s="58" t="n"/>
      <c r="B14" s="29" t="n"/>
      <c r="C14" s="59" t="n"/>
      <c r="D14" s="29" t="n"/>
      <c r="E14" s="29" t="n"/>
      <c r="F14" s="27" t="n"/>
    </row>
    <row r="15">
      <c r="A15" s="58" t="n"/>
      <c r="B15" s="29" t="n"/>
      <c r="C15" s="59" t="n"/>
      <c r="D15" s="29" t="n"/>
      <c r="E15" s="29" t="n"/>
      <c r="F15" s="27" t="n"/>
    </row>
    <row r="16">
      <c r="A16" s="58" t="n"/>
      <c r="B16" s="29" t="n"/>
      <c r="C16" s="59" t="n"/>
      <c r="D16" s="29" t="n"/>
      <c r="E16" s="29" t="n"/>
      <c r="F16" s="27" t="n"/>
    </row>
    <row r="17">
      <c r="A17" s="58" t="n"/>
      <c r="B17" s="29" t="n"/>
      <c r="C17" s="59" t="n"/>
      <c r="D17" s="29" t="n"/>
      <c r="E17" s="29" t="n"/>
      <c r="F17" s="27" t="n"/>
    </row>
    <row r="18">
      <c r="A18" s="58" t="n"/>
      <c r="B18" s="29" t="n"/>
      <c r="C18" s="59" t="n"/>
      <c r="D18" s="29" t="n"/>
      <c r="E18" s="29" t="n"/>
      <c r="F18" s="27" t="n"/>
    </row>
    <row r="19">
      <c r="A19" s="58" t="n"/>
      <c r="B19" s="29" t="n"/>
      <c r="C19" s="59" t="n"/>
      <c r="D19" s="29" t="n"/>
      <c r="E19" s="29" t="n"/>
      <c r="F19" s="27" t="n"/>
    </row>
    <row r="20">
      <c r="A20" s="58" t="n"/>
      <c r="B20" s="29" t="n"/>
      <c r="C20" s="59" t="n"/>
      <c r="D20" s="29" t="n"/>
      <c r="E20" s="29" t="n"/>
      <c r="F20" s="27" t="n"/>
    </row>
    <row r="21">
      <c r="A21" s="58" t="n"/>
      <c r="B21" s="29" t="n"/>
      <c r="C21" s="59" t="n"/>
      <c r="D21" s="29" t="n"/>
      <c r="E21" s="29" t="n"/>
      <c r="F21" s="27" t="n"/>
    </row>
    <row r="22">
      <c r="A22" s="58" t="n"/>
      <c r="B22" s="29" t="n"/>
      <c r="C22" s="59" t="n"/>
      <c r="D22" s="29" t="n"/>
      <c r="E22" s="29" t="n"/>
      <c r="F22" s="27" t="n"/>
    </row>
    <row r="23">
      <c r="A23" s="58" t="n"/>
      <c r="B23" s="29" t="n"/>
      <c r="C23" s="59" t="n"/>
      <c r="D23" s="29" t="n"/>
      <c r="E23" s="29" t="n"/>
      <c r="F23" s="27" t="n"/>
    </row>
    <row r="24">
      <c r="A24" s="58" t="n"/>
      <c r="B24" s="29" t="n"/>
      <c r="C24" s="59" t="n"/>
      <c r="D24" s="29" t="n"/>
      <c r="E24" s="29" t="n"/>
      <c r="F24" s="27" t="n"/>
    </row>
    <row r="25">
      <c r="A25" s="58" t="n"/>
      <c r="B25" s="29" t="n"/>
      <c r="C25" s="59" t="n"/>
      <c r="D25" s="29" t="n"/>
      <c r="E25" s="29" t="n"/>
      <c r="F25" s="27" t="n"/>
    </row>
    <row r="26">
      <c r="A26" s="58" t="n"/>
      <c r="B26" s="29" t="n"/>
      <c r="C26" s="59" t="n"/>
      <c r="D26" s="29" t="n"/>
      <c r="E26" s="29" t="n"/>
      <c r="F26" s="27" t="n"/>
    </row>
    <row r="27">
      <c r="A27" s="58" t="n"/>
      <c r="B27" s="29" t="n"/>
      <c r="C27" s="59" t="n"/>
      <c r="D27" s="29" t="n"/>
      <c r="E27" s="29" t="n"/>
      <c r="F27" s="27" t="n"/>
    </row>
    <row r="28">
      <c r="A28" s="58" t="n"/>
      <c r="B28" s="29" t="n"/>
      <c r="C28" s="59" t="n"/>
      <c r="D28" s="29" t="n"/>
      <c r="E28" s="29" t="n"/>
      <c r="F28" s="27" t="n"/>
    </row>
    <row r="29">
      <c r="A29" s="58" t="n"/>
      <c r="B29" s="29" t="n"/>
      <c r="C29" s="59" t="n"/>
      <c r="D29" s="29" t="n"/>
      <c r="E29" s="29" t="n"/>
      <c r="F29" s="27" t="n"/>
    </row>
    <row r="30">
      <c r="A30" s="58" t="n"/>
      <c r="B30" s="29" t="n"/>
      <c r="C30" s="59" t="n"/>
      <c r="D30" s="29" t="n"/>
      <c r="E30" s="29" t="n"/>
      <c r="F30" s="27" t="n"/>
    </row>
    <row r="31">
      <c r="A31" s="58" t="n"/>
      <c r="B31" s="29" t="n"/>
      <c r="C31" s="59" t="n"/>
      <c r="D31" s="29" t="n"/>
      <c r="E31" s="29" t="n"/>
      <c r="F31" s="27" t="n"/>
    </row>
    <row r="32">
      <c r="A32" s="58" t="n"/>
      <c r="B32" s="29" t="n"/>
      <c r="C32" s="59" t="n"/>
      <c r="D32" s="29" t="n"/>
      <c r="E32" s="29" t="n"/>
      <c r="F32" s="27" t="n"/>
    </row>
    <row r="33">
      <c r="A33" s="58" t="n"/>
      <c r="B33" s="29" t="n"/>
      <c r="C33" s="59" t="n"/>
      <c r="D33" s="29" t="n"/>
      <c r="E33" s="29" t="n"/>
      <c r="F33" s="27" t="n"/>
    </row>
    <row r="34">
      <c r="A34" s="58" t="n"/>
      <c r="B34" s="29" t="n"/>
      <c r="C34" s="59" t="n"/>
      <c r="D34" s="29" t="n"/>
      <c r="E34" s="29" t="n"/>
      <c r="F34" s="27" t="n"/>
    </row>
    <row r="35">
      <c r="A35" s="58" t="n"/>
      <c r="B35" s="29" t="n"/>
      <c r="C35" s="59" t="n"/>
      <c r="D35" s="29" t="n"/>
      <c r="E35" s="29" t="n"/>
      <c r="F35" s="27" t="n"/>
    </row>
    <row r="36">
      <c r="A36" s="58" t="n"/>
      <c r="B36" s="29" t="n"/>
      <c r="C36" s="59" t="n"/>
      <c r="D36" s="29" t="n"/>
      <c r="E36" s="29" t="n"/>
      <c r="F36" s="27" t="n"/>
    </row>
    <row r="37">
      <c r="A37" s="58" t="n"/>
      <c r="B37" s="29" t="n"/>
      <c r="C37" s="59" t="n"/>
      <c r="D37" s="29" t="n"/>
      <c r="E37" s="29" t="n"/>
      <c r="F37" s="27" t="n"/>
    </row>
    <row r="38">
      <c r="A38" s="58" t="n"/>
      <c r="B38" s="29" t="n"/>
      <c r="C38" s="59" t="n"/>
      <c r="D38" s="29" t="n"/>
      <c r="E38" s="29" t="n"/>
      <c r="F38" s="27" t="n"/>
    </row>
    <row r="39">
      <c r="A39" s="58" t="n"/>
      <c r="B39" s="29" t="n"/>
      <c r="C39" s="59" t="n"/>
      <c r="D39" s="29" t="n"/>
      <c r="E39" s="29" t="n"/>
      <c r="F39" s="27" t="n"/>
    </row>
    <row r="40">
      <c r="A40" s="58" t="n"/>
      <c r="B40" s="29" t="n"/>
      <c r="C40" s="59" t="n"/>
      <c r="D40" s="29" t="n"/>
      <c r="E40" s="29" t="n"/>
      <c r="F40" s="27" t="n"/>
    </row>
    <row r="41">
      <c r="A41" s="58" t="n"/>
      <c r="B41" s="29" t="n"/>
      <c r="C41" s="59" t="n"/>
      <c r="D41" s="29" t="n"/>
      <c r="E41" s="29" t="n"/>
      <c r="F41" s="27" t="n"/>
    </row>
    <row r="42">
      <c r="A42" s="58" t="n"/>
      <c r="B42" s="29" t="n"/>
      <c r="C42" s="59" t="n"/>
      <c r="D42" s="29" t="n"/>
      <c r="E42" s="29" t="n"/>
      <c r="F42" s="27" t="n"/>
    </row>
    <row r="43">
      <c r="A43" s="58" t="n"/>
      <c r="B43" s="29" t="n"/>
      <c r="C43" s="59" t="n"/>
      <c r="D43" s="29" t="n"/>
      <c r="E43" s="29" t="n"/>
      <c r="F43" s="27" t="n"/>
    </row>
    <row r="44">
      <c r="A44" s="58" t="n"/>
      <c r="B44" s="29" t="n"/>
      <c r="C44" s="59" t="n"/>
      <c r="D44" s="29" t="n"/>
      <c r="E44" s="29" t="n"/>
      <c r="F44" s="27" t="n"/>
    </row>
    <row r="45">
      <c r="A45" s="58" t="n"/>
      <c r="B45" s="29" t="n"/>
      <c r="C45" s="59" t="n"/>
      <c r="D45" s="29" t="n"/>
      <c r="E45" s="29" t="n"/>
      <c r="F45" s="27" t="n"/>
    </row>
    <row r="46">
      <c r="A46" s="58" t="n"/>
      <c r="B46" s="29" t="n"/>
      <c r="C46" s="59" t="n"/>
      <c r="D46" s="29" t="n"/>
      <c r="E46" s="29" t="n"/>
      <c r="F46" s="27" t="n"/>
    </row>
    <row r="47">
      <c r="A47" s="58" t="n"/>
      <c r="B47" s="29" t="n"/>
      <c r="C47" s="59" t="n"/>
      <c r="D47" s="29" t="n"/>
      <c r="E47" s="29" t="n"/>
      <c r="F47" s="27" t="n"/>
    </row>
    <row r="48">
      <c r="A48" s="58" t="n"/>
      <c r="B48" s="29" t="n"/>
      <c r="C48" s="59" t="n"/>
      <c r="D48" s="29" t="n"/>
      <c r="E48" s="29" t="n"/>
      <c r="F48" s="27" t="n"/>
    </row>
    <row r="49">
      <c r="A49" s="58" t="n"/>
      <c r="B49" s="29" t="n"/>
      <c r="C49" s="59" t="n"/>
      <c r="D49" s="29" t="n"/>
      <c r="E49" s="29" t="n"/>
      <c r="F49" s="27" t="n"/>
    </row>
    <row r="50">
      <c r="A50" s="58" t="n"/>
      <c r="B50" s="29" t="n"/>
      <c r="C50" s="59" t="n"/>
      <c r="D50" s="29" t="n"/>
      <c r="E50" s="29" t="n"/>
      <c r="F50" s="27" t="n"/>
    </row>
  </sheetData>
  <mergeCells count="1">
    <mergeCell ref="A1:F1"/>
  </mergeCells>
  <dataValidations count="2">
    <dataValidation sqref="D3:D200" showDropDown="0" showInputMessage="0" showErrorMessage="0" allowBlank="0" type="list">
      <formula1>"regular,extra,penalty"</formula1>
    </dataValidation>
    <dataValidation sqref="B3:B200" showDropDown="0" showInputMessage="0" showErrorMessage="0" allowBlank="0" type="whole" operator="between">
      <formula1>1</formula1>
      <formula2>=Tenure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8" customWidth="1" min="4" max="4"/>
  </cols>
  <sheetData>
    <row r="1" ht="26" customHeight="1">
      <c r="A1" s="31" t="inlineStr">
        <is>
          <t>RECONCILIATION DASHBOARD</t>
        </is>
      </c>
    </row>
    <row r="3">
      <c r="A3" s="5" t="inlineStr">
        <is>
          <t>PRINCIPAL RECONCILIATION</t>
        </is>
      </c>
      <c r="B3" s="43" t="n"/>
      <c r="C3" s="43" t="n"/>
      <c r="D3" s="44" t="n"/>
    </row>
    <row r="4">
      <c r="A4" s="4" t="inlineStr">
        <is>
          <t>Metric</t>
        </is>
      </c>
      <c r="B4" s="4" t="inlineStr">
        <is>
          <t>Expected / Target</t>
        </is>
      </c>
      <c r="C4" s="4">
        <f>SUM(Schedule!$G$3:$G$62)</f>
        <v/>
      </c>
      <c r="D4" s="4" t="inlineStr">
        <is>
          <t>Difference / Check</t>
        </is>
      </c>
    </row>
    <row r="5">
      <c r="A5" s="6" t="inlineStr">
        <is>
          <t>Original Loan Amount</t>
        </is>
      </c>
      <c r="B5" s="49">
        <f>LoanAmount</f>
        <v/>
      </c>
      <c r="C5" s="60">
        <f>SUM(Schedule!$M$3:$M$62)</f>
        <v/>
      </c>
      <c r="D5" s="49">
        <f>B4-C4</f>
        <v/>
      </c>
    </row>
    <row r="6">
      <c r="A6" s="6" t="inlineStr">
        <is>
          <t>Total Principal Paid</t>
        </is>
      </c>
      <c r="B6" s="49">
        <f>LoanAmount-SUM(Schedule!$M$3:$M$62)</f>
        <v/>
      </c>
      <c r="C6" s="60">
        <f>IFERROR(SUMIF(Schedule!$P$3:$P$62,"&lt;&gt;Paid",Schedule!$G$3:$G$62),0)</f>
        <v/>
      </c>
      <c r="D6" s="49">
        <f>B5-C5</f>
        <v/>
      </c>
    </row>
    <row r="7">
      <c r="A7" s="6" t="inlineStr">
        <is>
          <t>Outstanding Principal</t>
        </is>
      </c>
      <c r="B7" s="49">
        <f>LoanAmount-SUM(Schedule!$M$3:$M$62)</f>
        <v/>
      </c>
      <c r="C7" s="60">
        <f>IFERROR(INDEX(Schedule!$O$3:$O$62,MATCH(TRUE,Schedule!$O$3:$O$62&lt;&gt;"",0)+COUNTIF(Schedule!$A$3:$A$62,"&lt;="&amp;Tenure)-1),0)</f>
        <v/>
      </c>
      <c r="D7" s="49">
        <f>IF(ABS(B6-C6)&lt;1,"OK ✓","DISCREPANCY ✗")</f>
        <v/>
      </c>
    </row>
    <row r="9">
      <c r="A9" s="5" t="inlineStr">
        <is>
          <t>INTEREST RECONCILIATION</t>
        </is>
      </c>
      <c r="B9" s="43" t="n"/>
      <c r="C9" s="43" t="n"/>
      <c r="D9" s="44" t="n"/>
    </row>
    <row r="10">
      <c r="A10" s="4" t="inlineStr">
        <is>
          <t>Metric</t>
        </is>
      </c>
      <c r="B10" s="4" t="inlineStr">
        <is>
          <t>Expected / Target</t>
        </is>
      </c>
      <c r="C10" s="4">
        <f>SUM(Schedule!$F$3:$F$62)</f>
        <v/>
      </c>
      <c r="D10" s="4" t="inlineStr">
        <is>
          <t>Difference / Check</t>
        </is>
      </c>
    </row>
    <row r="11">
      <c r="A11" s="6" t="inlineStr">
        <is>
          <t>Total Interest Expected</t>
        </is>
      </c>
      <c r="B11" s="49">
        <f>Inputs!B19</f>
        <v/>
      </c>
      <c r="C11" s="60">
        <f>SUM(Schedule!$L$3:$L$62)</f>
        <v/>
      </c>
      <c r="D11" s="49">
        <f>B10-C10</f>
        <v/>
      </c>
    </row>
    <row r="12">
      <c r="A12" s="6" t="inlineStr">
        <is>
          <t>Total Interest Paid</t>
        </is>
      </c>
      <c r="B12" s="49">
        <f>SUM(Schedule!$F$3:$F$62)-SUM(Schedule!$L$3:$L$62)</f>
        <v/>
      </c>
      <c r="C12" s="60">
        <f>SUMIF(Schedule!$P$3:$P$62,"&lt;&gt;Paid",Schedule!$F$3:$F$62)</f>
        <v/>
      </c>
      <c r="D12" s="49">
        <f>B11-C11</f>
        <v/>
      </c>
    </row>
    <row r="13">
      <c r="A13" s="6" t="inlineStr">
        <is>
          <t>Outstanding Interest</t>
        </is>
      </c>
      <c r="B13" s="49">
        <f>SUM(Schedule!$F$3:$F$62)-SUM(Schedule!$L$3:$L$62)</f>
        <v/>
      </c>
      <c r="C13" s="60">
        <f>SUMIF(Schedule!$P$3:$P$62,"&lt;&gt;Paid",Schedule!$F$3:$F$62)</f>
        <v/>
      </c>
      <c r="D13" s="49">
        <f>IF(ABS(B12-C12)&lt;1,"OK ✓","DISCREPANCY ✗")</f>
        <v/>
      </c>
    </row>
    <row r="15">
      <c r="A15" s="5" t="n"/>
      <c r="B15" s="43" t="n"/>
      <c r="C15" s="43" t="n"/>
      <c r="D15" s="44" t="n"/>
    </row>
    <row r="16">
      <c r="A16" s="4" t="inlineStr">
        <is>
          <t>Metric</t>
        </is>
      </c>
      <c r="B16" s="4">
        <f>SUM(Schedule!$J$3:$J$62)</f>
        <v/>
      </c>
      <c r="C16" s="4">
        <f>SUM(Schedule!$J$3:$J$62)</f>
        <v/>
      </c>
      <c r="D16" s="4" t="inlineStr">
        <is>
          <t>Difference / Check</t>
        </is>
      </c>
    </row>
    <row r="17">
      <c r="A17" s="6" t="inlineStr">
        <is>
          <t>Total Penalties Assessed</t>
        </is>
      </c>
      <c r="B17" s="49">
        <f>SUM(Schedule!$K$3:$K$62)</f>
        <v/>
      </c>
      <c r="C17" s="60">
        <f>SUM(Schedule!$K$3:$K$62)</f>
        <v/>
      </c>
      <c r="D17" s="49">
        <f>B16-C16</f>
        <v/>
      </c>
    </row>
    <row r="18">
      <c r="A18" s="6" t="inlineStr">
        <is>
          <t>Total Penalties Paid</t>
        </is>
      </c>
      <c r="B18" s="49">
        <f>SUM(Schedule!$K$3:$K$62)</f>
        <v/>
      </c>
      <c r="C18" s="60">
        <f>SUM(Schedule!$K$3:$K$62)</f>
        <v/>
      </c>
      <c r="D18" s="49">
        <f>B17-C17</f>
        <v/>
      </c>
    </row>
    <row r="19">
      <c r="A19" s="6" t="inlineStr">
        <is>
          <t>Outstanding Penalties</t>
        </is>
      </c>
      <c r="B19" s="49">
        <f>B16-B17</f>
        <v/>
      </c>
      <c r="C19" s="49">
        <f>C16-C17</f>
        <v/>
      </c>
      <c r="D19" s="49">
        <f>IF(ABS(B18-C18)&lt;0.001,"OK ✓","DISCREPANCY ✗")</f>
        <v/>
      </c>
    </row>
    <row r="21">
      <c r="A21" s="5" t="inlineStr">
        <is>
          <t>OVERALL SUMMARY</t>
        </is>
      </c>
      <c r="B21" s="43" t="n"/>
      <c r="C21" s="43" t="n"/>
      <c r="D21" s="44" t="n"/>
    </row>
    <row r="22">
      <c r="A22" s="4" t="inlineStr">
        <is>
          <t>Metric</t>
        </is>
      </c>
      <c r="B22" s="4" t="inlineStr">
        <is>
          <t>Expected / Target</t>
        </is>
      </c>
      <c r="C22" s="4" t="inlineStr">
        <is>
          <t>Actual (from schedule)</t>
        </is>
      </c>
      <c r="D22" s="4" t="inlineStr">
        <is>
          <t>Difference / Check</t>
        </is>
      </c>
    </row>
    <row r="23">
      <c r="A23" s="6" t="inlineStr">
        <is>
          <t>Total EMI Scheduled</t>
        </is>
      </c>
      <c r="B23" s="49">
        <f>SUM(Payments!$C$3:$C$200)</f>
        <v/>
      </c>
      <c r="C23" s="60">
        <f>SUM(Schedule!$H$3:$H$62)</f>
        <v/>
      </c>
      <c r="D23" s="49">
        <f>B22-C22</f>
        <v/>
      </c>
    </row>
    <row r="24">
      <c r="A24" s="6" t="inlineStr">
        <is>
          <t>Total Cash Received</t>
        </is>
      </c>
      <c r="B24" s="49">
        <f>MAX(Schedule!$O$3:$O$62)</f>
        <v/>
      </c>
      <c r="C24" s="60">
        <f>LoanAmount-SUM(Schedule!$M$3:$M$62)</f>
        <v/>
      </c>
      <c r="D24" s="49">
        <f>IF(ABS(B23-C23)&lt;0.001,"OK ✓","MATCH ✓")</f>
        <v/>
      </c>
    </row>
    <row r="25">
      <c r="A25" s="6" t="inlineStr">
        <is>
          <t>Current Outstanding Balance</t>
        </is>
      </c>
      <c r="B25" s="49">
        <f>MAX(Schedule!$O$3:$O$62)</f>
        <v/>
      </c>
      <c r="C25" s="60">
        <f>LoanAmount-SUM(Schedule!$M$3:$M$62)</f>
        <v/>
      </c>
      <c r="D25" s="49">
        <f>IF(ABS(B24-C24)&lt;1,"BALANCED ✓","DISCREPANCY ✗")</f>
        <v/>
      </c>
    </row>
    <row r="26">
      <c r="A26" s="6" t="inlineStr">
        <is>
          <t>Overdue Installments</t>
        </is>
      </c>
      <c r="B26" s="49">
        <f>COUNTIF(Schedule!$P$3:$P$62,"Overdue")</f>
        <v/>
      </c>
      <c r="C26" s="60">
        <f>COUNTIF(Schedule!$P$3:$P$62,"Partial")</f>
        <v/>
      </c>
      <c r="D26" s="33" t="inlineStr">
        <is>
          <t>Overdue | Partial</t>
        </is>
      </c>
    </row>
  </sheetData>
  <mergeCells count="5">
    <mergeCell ref="A1:D1"/>
    <mergeCell ref="A9:D9"/>
    <mergeCell ref="A3:D3"/>
    <mergeCell ref="A21:D21"/>
    <mergeCell ref="A15:D15"/>
  </mergeCells>
  <conditionalFormatting sqref="D1:D50">
    <cfRule type="expression" priority="1" dxfId="3">
      <formula>ISNUMBER(SEARCH("✓",D1))</formula>
    </cfRule>
    <cfRule type="expression" priority="2" dxfId="4">
      <formula>ISNUMBER(SEARCH("✗",D1))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2026-04-17T11:16:03Z</dcterms:created>
  <dcterms:modified xsi:type="dcterms:W3CDTF">2026-04-17T15:28:12Z</dcterms:modified>
</cp:coreProperties>
</file>
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lidays" sheetId="1" state="visible" r:id="rId1"/>
    <sheet name="Inputs" sheetId="2" state="visible" r:id="rId2"/>
    <sheet name="Schedule" sheetId="3" state="visible" r:id="rId3"/>
    <sheet name="Payments" sheetId="4" state="visible" r:id="rId4"/>
    <sheet name="Reconciliation" sheetId="5" state="visible" r:id="rId5"/>
    <sheet name="Backend_Recalc" sheetId="6" state="visible" r:id="rId6"/>
  </sheets>
  <definedNames>
    <definedName name="ArmenianHolidays">Holidays!$A$2:$A$92</definedName>
    <definedName name="LoanAmount">Inputs!$B$4</definedName>
    <definedName name="AnnualRate">Inputs!$B$5</definedName>
    <definedName name="FeeRate">Inputs!$B$6</definedName>
    <definedName name="StartDate">Inputs!$B$8</definedName>
    <definedName name="FirstPayDate">Inputs!$B$9</definedName>
    <definedName name="Tenure">Inputs!$B$10</definedName>
    <definedName name="DayConvention">Inputs!$B$12</definedName>
    <definedName name="ExtraPayMode">Inputs!$B$13</definedName>
    <definedName name="MonthlyRate">Inputs!$B$16</definedName>
    <definedName name="EMI">Inputs!$B$17</definedName>
  </definedNames>
  <calcPr calcId="124519" fullCalcOnLoad="1"/>
</workbook>
</file>

<file path=xl/styles.xml><?xml version="1.0" encoding="utf-8"?>
<styleSheet xmlns="http://schemas.openxmlformats.org/spreadsheetml/2006/main">
  <numFmts count="7">
    <numFmt numFmtId="164" formatCode="YYYY-MM-DD"/>
    <numFmt numFmtId="165" formatCode="#,##0.000;(#,##0.000);-"/>
    <numFmt numFmtId="166" formatCode="0.00000%"/>
    <numFmt numFmtId="167" formatCode="0.00000000000%"/>
    <numFmt numFmtId="168" formatCode="0.000%"/>
    <numFmt numFmtId="169" formatCode="0;(0);-"/>
    <numFmt numFmtId="170" formatCode="yyyy-mm-dd"/>
  </numFmts>
  <fonts count="14">
    <font>
      <name val="Calibri"/>
      <family val="2"/>
      <color theme="1"/>
      <sz val="11"/>
      <scheme val="minor"/>
    </font>
    <font>
      <name val="Arial"/>
      <b val="1"/>
    </font>
    <font>
      <name val="Arial"/>
      <color rgb="00000000"/>
    </font>
    <font>
      <name val="Arial"/>
      <b val="1"/>
      <color rgb="00FFFFFF"/>
      <sz val="14"/>
    </font>
    <font>
      <name val="Arial"/>
      <b val="1"/>
      <color rgb="00FFFFFF"/>
    </font>
    <font>
      <name val="Arial"/>
      <b val="1"/>
      <color rgb="001F3864"/>
    </font>
    <font>
      <name val="Arial"/>
      <color rgb="001F3864"/>
    </font>
    <font>
      <name val="Arial"/>
      <color rgb="000000FF"/>
    </font>
    <font>
      <name val="Arial"/>
      <i val="1"/>
      <color rgb="00666666"/>
    </font>
    <font>
      <name val="Arial"/>
      <i val="1"/>
      <color rgb="00666666"/>
      <sz val="8"/>
    </font>
    <font>
      <name val="Arial"/>
      <b val="1"/>
      <color rgb="00FFFFFF"/>
      <sz val="13"/>
    </font>
    <font>
      <name val="Arial"/>
      <color rgb="00008000"/>
    </font>
    <font>
      <name val="Arial"/>
      <b val="1"/>
      <color rgb="00FFFFFF"/>
      <sz val="11"/>
    </font>
    <font>
      <name val="Arial"/>
      <i val="1"/>
      <color rgb="00444444"/>
    </font>
  </fonts>
  <fills count="12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2E75B6"/>
      </patternFill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7030A0"/>
      </patternFill>
    </fill>
    <fill>
      <patternFill patternType="solid">
        <fgColor rgb="00C00000"/>
      </patternFill>
    </fill>
    <fill>
      <patternFill patternType="solid">
        <fgColor rgb="00C6EFCE"/>
      </patternFill>
    </fill>
    <fill>
      <patternFill patternType="solid">
        <fgColor rgb="004472C4"/>
      </patternFill>
    </fill>
    <fill>
      <patternFill patternType="solid">
        <fgColor rgb="00EBF3FB"/>
      </patternFill>
    </fill>
  </fills>
  <borders count="6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/>
      <right/>
      <top style="thin">
        <color rgb="00AAAAAA"/>
      </top>
      <bottom/>
      <diagonal/>
    </border>
    <border>
      <left/>
      <right style="thin">
        <color rgb="00AAAAAA"/>
      </right>
      <top style="thin">
        <color rgb="00AAAAAA"/>
      </top>
      <bottom/>
      <diagonal/>
    </border>
    <border>
      <left/>
      <right/>
      <top style="thin">
        <color rgb="00AAAAAA"/>
      </top>
      <bottom style="thin">
        <color rgb="00AAAAAA"/>
      </bottom>
      <diagonal/>
    </border>
    <border>
      <left/>
      <right style="thin">
        <color rgb="00AAAAAA"/>
      </right>
      <top style="thin">
        <color rgb="00AAAAAA"/>
      </top>
      <bottom style="thin">
        <color rgb="00AAAAAA"/>
      </bottom>
      <diagonal/>
    </border>
  </borders>
  <cellStyleXfs count="1">
    <xf numFmtId="0" fontId="0" fillId="0" borderId="0"/>
  </cellStyleXfs>
  <cellXfs count="68">
    <xf numFmtId="0" fontId="0" fillId="0" borderId="0" pivotButton="0" quotePrefix="0" xfId="0"/>
    <xf numFmtId="0" fontId="1" fillId="2" borderId="0" pivotButton="0" quotePrefix="0" xfId="0"/>
    <xf numFmtId="164" fontId="2" fillId="0" borderId="1" pivotButton="0" quotePrefix="0" xfId="0"/>
    <xf numFmtId="0" fontId="3" fillId="3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2" borderId="1" pivotButton="0" quotePrefix="0" xfId="0"/>
    <xf numFmtId="0" fontId="6" fillId="0" borderId="1" applyAlignment="1" pivotButton="0" quotePrefix="0" xfId="0">
      <alignment horizontal="left" vertical="center"/>
    </xf>
    <xf numFmtId="165" fontId="7" fillId="5" borderId="1" applyAlignment="1" pivotButton="0" quotePrefix="0" xfId="0">
      <alignment horizontal="right"/>
    </xf>
    <xf numFmtId="0" fontId="8" fillId="0" borderId="1" pivotButton="0" quotePrefix="0" xfId="0"/>
    <xf numFmtId="166" fontId="7" fillId="5" borderId="1" applyAlignment="1" pivotButton="0" quotePrefix="0" xfId="0">
      <alignment horizontal="right"/>
    </xf>
    <xf numFmtId="164" fontId="7" fillId="5" borderId="1" applyAlignment="1" pivotButton="0" quotePrefix="0" xfId="0">
      <alignment horizontal="right"/>
    </xf>
    <xf numFmtId="1" fontId="7" fillId="5" borderId="1" applyAlignment="1" pivotButton="0" quotePrefix="0" xfId="0">
      <alignment horizontal="right"/>
    </xf>
    <xf numFmtId="0" fontId="7" fillId="5" borderId="1" pivotButton="0" quotePrefix="0" xfId="0"/>
    <xf numFmtId="167" fontId="2" fillId="6" borderId="1" applyAlignment="1" pivotButton="0" quotePrefix="0" xfId="0">
      <alignment horizontal="right"/>
    </xf>
    <xf numFmtId="0" fontId="9" fillId="0" borderId="1" pivotButton="0" quotePrefix="0" xfId="0"/>
    <xf numFmtId="165" fontId="2" fillId="6" borderId="1" applyAlignment="1" pivotButton="0" quotePrefix="0" xfId="0">
      <alignment horizontal="right"/>
    </xf>
    <xf numFmtId="168" fontId="2" fillId="6" borderId="1" applyAlignment="1" pivotButton="0" quotePrefix="0" xfId="0">
      <alignment horizontal="right"/>
    </xf>
    <xf numFmtId="0" fontId="10" fillId="3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/>
    </xf>
    <xf numFmtId="164" fontId="11" fillId="6" borderId="1" pivotButton="0" quotePrefix="0" xfId="0"/>
    <xf numFmtId="164" fontId="2" fillId="6" borderId="1" pivotButton="0" quotePrefix="0" xfId="0"/>
    <xf numFmtId="169" fontId="2" fillId="6" borderId="1" pivotButton="0" quotePrefix="0" xfId="0"/>
    <xf numFmtId="165" fontId="11" fillId="6" borderId="1" pivotButton="0" quotePrefix="0" xfId="0"/>
    <xf numFmtId="165" fontId="2" fillId="6" borderId="1" pivotButton="0" quotePrefix="0" xfId="0"/>
    <xf numFmtId="164" fontId="7" fillId="5" borderId="1" pivotButton="0" quotePrefix="0" xfId="0"/>
    <xf numFmtId="165" fontId="7" fillId="5" borderId="1" pivotButton="0" quotePrefix="0" xfId="0"/>
    <xf numFmtId="0" fontId="11" fillId="6" borderId="1" pivotButton="0" quotePrefix="0" xfId="0"/>
    <xf numFmtId="164" fontId="0" fillId="5" borderId="1" pivotButton="0" quotePrefix="0" xfId="0"/>
    <xf numFmtId="0" fontId="0" fillId="5" borderId="1" pivotButton="0" quotePrefix="0" xfId="0"/>
    <xf numFmtId="165" fontId="0" fillId="5" borderId="1" pivotButton="0" quotePrefix="0" xfId="0"/>
    <xf numFmtId="0" fontId="3" fillId="7" borderId="0" applyAlignment="1" pivotButton="0" quotePrefix="0" xfId="0">
      <alignment horizontal="center"/>
    </xf>
    <xf numFmtId="165" fontId="11" fillId="6" borderId="1" applyAlignment="1" pivotButton="0" quotePrefix="0" xfId="0">
      <alignment horizontal="right"/>
    </xf>
    <xf numFmtId="0" fontId="0" fillId="0" borderId="1" pivotButton="0" quotePrefix="0" xfId="0"/>
    <xf numFmtId="0" fontId="10" fillId="8" borderId="0" applyAlignment="1" pivotButton="0" quotePrefix="0" xfId="0">
      <alignment horizontal="center"/>
    </xf>
    <xf numFmtId="0" fontId="12" fillId="3" borderId="0" applyAlignment="1" pivotButton="0" quotePrefix="0" xfId="0">
      <alignment horizontal="left"/>
    </xf>
    <xf numFmtId="0" fontId="13" fillId="0" borderId="1" pivotButton="0" quotePrefix="0" xfId="0"/>
    <xf numFmtId="0" fontId="1" fillId="0" borderId="1" pivotButton="0" quotePrefix="0" xfId="0"/>
    <xf numFmtId="0" fontId="2" fillId="9" borderId="1" pivotButton="0" quotePrefix="0" xfId="0"/>
    <xf numFmtId="0" fontId="10" fillId="10" borderId="0" applyAlignment="1" pivotButton="0" quotePrefix="0" xfId="0">
      <alignment horizontal="center"/>
    </xf>
    <xf numFmtId="0" fontId="2" fillId="6" borderId="1" applyAlignment="1" pivotButton="0" quotePrefix="0" xfId="0">
      <alignment vertical="top" wrapText="1"/>
    </xf>
    <xf numFmtId="0" fontId="2" fillId="11" borderId="1" applyAlignment="1" pivotButton="0" quotePrefix="0" xfId="0">
      <alignment vertical="top" wrapText="1"/>
    </xf>
    <xf numFmtId="164" fontId="2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165" fontId="7" fillId="5" borderId="1" applyAlignment="1" pivotButton="0" quotePrefix="0" xfId="0">
      <alignment horizontal="right"/>
    </xf>
    <xf numFmtId="166" fontId="7" fillId="5" borderId="1" applyAlignment="1" pivotButton="0" quotePrefix="0" xfId="0">
      <alignment horizontal="right"/>
    </xf>
    <xf numFmtId="164" fontId="7" fillId="5" borderId="1" applyAlignment="1" pivotButton="0" quotePrefix="0" xfId="0">
      <alignment horizontal="right"/>
    </xf>
    <xf numFmtId="167" fontId="2" fillId="6" borderId="1" applyAlignment="1" pivotButton="0" quotePrefix="0" xfId="0">
      <alignment horizontal="right"/>
    </xf>
    <xf numFmtId="165" fontId="2" fillId="6" borderId="1" applyAlignment="1" pivotButton="0" quotePrefix="0" xfId="0">
      <alignment horizontal="right"/>
    </xf>
    <xf numFmtId="168" fontId="2" fillId="6" borderId="1" applyAlignment="1" pivotButton="0" quotePrefix="0" xfId="0">
      <alignment horizontal="right"/>
    </xf>
    <xf numFmtId="164" fontId="11" fillId="6" borderId="1" pivotButton="0" quotePrefix="0" xfId="0"/>
    <xf numFmtId="164" fontId="2" fillId="6" borderId="1" pivotButton="0" quotePrefix="0" xfId="0"/>
    <xf numFmtId="169" fontId="2" fillId="6" borderId="1" pivotButton="0" quotePrefix="0" xfId="0"/>
    <xf numFmtId="165" fontId="11" fillId="6" borderId="1" pivotButton="0" quotePrefix="0" xfId="0"/>
    <xf numFmtId="165" fontId="2" fillId="6" borderId="1" pivotButton="0" quotePrefix="0" xfId="0"/>
    <xf numFmtId="164" fontId="7" fillId="5" borderId="1" pivotButton="0" quotePrefix="0" xfId="0"/>
    <xf numFmtId="165" fontId="7" fillId="5" borderId="1" pivotButton="0" quotePrefix="0" xfId="0"/>
    <xf numFmtId="164" fontId="0" fillId="5" borderId="1" pivotButton="0" quotePrefix="0" xfId="0"/>
    <xf numFmtId="165" fontId="0" fillId="5" borderId="1" pivotButton="0" quotePrefix="0" xfId="0"/>
    <xf numFmtId="165" fontId="11" fillId="6" borderId="1" applyAlignment="1" pivotButton="0" quotePrefix="0" xfId="0">
      <alignment horizontal="right"/>
    </xf>
    <xf numFmtId="0" fontId="2" fillId="6" borderId="1" pivotButton="0" quotePrefix="0" xfId="0"/>
    <xf numFmtId="0" fontId="0" fillId="6" borderId="0" pivotButton="0" quotePrefix="0" xfId="0"/>
    <xf numFmtId="1" fontId="2" fillId="6" borderId="1" applyAlignment="1" pivotButton="0" quotePrefix="0" xfId="0">
      <alignment horizontal="center"/>
    </xf>
    <xf numFmtId="164" fontId="11" fillId="6" borderId="1" applyAlignment="1" pivotButton="0" quotePrefix="0" xfId="0">
      <alignment horizontal="right"/>
    </xf>
    <xf numFmtId="164" fontId="2" fillId="6" borderId="1" applyAlignment="1" pivotButton="0" quotePrefix="0" xfId="0">
      <alignment horizontal="right"/>
    </xf>
    <xf numFmtId="169" fontId="2" fillId="6" borderId="1" applyAlignment="1" pivotButton="0" quotePrefix="0" xfId="0">
      <alignment horizontal="right"/>
    </xf>
    <xf numFmtId="170" fontId="0" fillId="0" borderId="0" pivotButton="0" quotePrefix="0" xfId="0"/>
  </cellXfs>
  <cellStyles count="1">
    <cellStyle name="Normal" xfId="0" builtinId="0" hidden="0"/>
  </cellStyles>
  <dxfs count="5">
    <dxf>
      <font>
        <name val="Arial"/>
        <color rgb="009C0006"/>
      </font>
      <fill>
        <patternFill patternType="solid">
          <fgColor rgb="00FFC7CE"/>
        </patternFill>
      </fill>
    </dxf>
    <dxf>
      <font>
        <name val="Arial"/>
        <color rgb="009C6500"/>
      </font>
      <fill>
        <patternFill patternType="solid">
          <fgColor rgb="00FFEB9C"/>
        </patternFill>
      </fill>
    </dxf>
    <dxf>
      <font>
        <name val="Arial"/>
        <color rgb="00276221"/>
      </font>
      <fill>
        <patternFill patternType="solid">
          <fgColor rgb="00C6EFCE"/>
        </patternFill>
      </fill>
    </dxf>
    <dxf>
      <font>
        <name val="Arial"/>
        <b val="1"/>
        <color rgb="00276221"/>
      </font>
      <fill>
        <patternFill patternType="solid">
          <fgColor rgb="00C6EFCE"/>
        </patternFill>
      </fill>
    </dxf>
    <dxf>
      <font>
        <name val="Arial"/>
        <b val="1"/>
        <color rgb="009C0006"/>
      </font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808080"/>
    <outlinePr summaryBelow="1" summaryRight="1"/>
    <pageSetUpPr/>
  </sheetPr>
  <dimension ref="A1:A92"/>
  <sheetViews>
    <sheetView workbookViewId="0">
      <selection activeCell="A1" sqref="A1"/>
    </sheetView>
  </sheetViews>
  <sheetFormatPr baseColWidth="8" defaultRowHeight="15"/>
  <cols>
    <col width="15" customWidth="1" min="1" max="1"/>
  </cols>
  <sheetData>
    <row r="1">
      <c r="A1" s="1" t="inlineStr">
        <is>
          <t>Armenian Public Holidays</t>
        </is>
      </c>
    </row>
    <row r="2">
      <c r="A2" s="42" t="n">
        <v>45292</v>
      </c>
    </row>
    <row r="3">
      <c r="A3" s="42" t="n">
        <v>45293</v>
      </c>
    </row>
    <row r="4">
      <c r="A4" s="42" t="n">
        <v>45297</v>
      </c>
    </row>
    <row r="5">
      <c r="A5" s="42" t="n">
        <v>45318</v>
      </c>
    </row>
    <row r="6">
      <c r="A6" s="42" t="n">
        <v>45319</v>
      </c>
    </row>
    <row r="7">
      <c r="A7" s="42" t="n">
        <v>45359</v>
      </c>
    </row>
    <row r="8">
      <c r="A8" s="42" t="n">
        <v>45406</v>
      </c>
    </row>
    <row r="9">
      <c r="A9" s="42" t="n">
        <v>45413</v>
      </c>
    </row>
    <row r="10">
      <c r="A10" s="42" t="n">
        <v>45421</v>
      </c>
    </row>
    <row r="11">
      <c r="A11" s="42" t="n">
        <v>45440</v>
      </c>
    </row>
    <row r="12">
      <c r="A12" s="42" t="n">
        <v>45478</v>
      </c>
    </row>
    <row r="13">
      <c r="A13" s="42" t="n">
        <v>45556</v>
      </c>
    </row>
    <row r="14">
      <c r="A14" s="42" t="n">
        <v>45657</v>
      </c>
    </row>
    <row r="15">
      <c r="A15" s="42" t="n">
        <v>45658</v>
      </c>
    </row>
    <row r="16">
      <c r="A16" s="42" t="n">
        <v>45659</v>
      </c>
    </row>
    <row r="17">
      <c r="A17" s="42" t="n">
        <v>45663</v>
      </c>
    </row>
    <row r="18">
      <c r="A18" s="42" t="n">
        <v>45684</v>
      </c>
    </row>
    <row r="19">
      <c r="A19" s="42" t="n">
        <v>45685</v>
      </c>
    </row>
    <row r="20">
      <c r="A20" s="42" t="n">
        <v>45724</v>
      </c>
    </row>
    <row r="21">
      <c r="A21" s="42" t="n">
        <v>45771</v>
      </c>
    </row>
    <row r="22">
      <c r="A22" s="42" t="n">
        <v>45778</v>
      </c>
    </row>
    <row r="23">
      <c r="A23" s="42" t="n">
        <v>45786</v>
      </c>
    </row>
    <row r="24">
      <c r="A24" s="42" t="n">
        <v>45805</v>
      </c>
    </row>
    <row r="25">
      <c r="A25" s="42" t="n">
        <v>45843</v>
      </c>
    </row>
    <row r="26">
      <c r="A26" s="42" t="n">
        <v>45921</v>
      </c>
    </row>
    <row r="27">
      <c r="A27" s="42" t="n">
        <v>46022</v>
      </c>
    </row>
    <row r="28">
      <c r="A28" s="42" t="n">
        <v>46023</v>
      </c>
    </row>
    <row r="29">
      <c r="A29" s="42" t="n">
        <v>46024</v>
      </c>
    </row>
    <row r="30">
      <c r="A30" s="42" t="n">
        <v>46028</v>
      </c>
    </row>
    <row r="31">
      <c r="A31" s="42" t="n">
        <v>46049</v>
      </c>
    </row>
    <row r="32">
      <c r="A32" s="42" t="n">
        <v>46050</v>
      </c>
    </row>
    <row r="33">
      <c r="A33" s="42" t="n">
        <v>46089</v>
      </c>
    </row>
    <row r="34">
      <c r="A34" s="42" t="n">
        <v>46136</v>
      </c>
    </row>
    <row r="35">
      <c r="A35" s="42" t="n">
        <v>46143</v>
      </c>
    </row>
    <row r="36">
      <c r="A36" s="42" t="n">
        <v>46151</v>
      </c>
    </row>
    <row r="37">
      <c r="A37" s="42" t="n">
        <v>46170</v>
      </c>
    </row>
    <row r="38">
      <c r="A38" s="42" t="n">
        <v>46208</v>
      </c>
    </row>
    <row r="39">
      <c r="A39" s="42" t="n">
        <v>46286</v>
      </c>
    </row>
    <row r="40">
      <c r="A40" s="42" t="n">
        <v>46387</v>
      </c>
    </row>
    <row r="41">
      <c r="A41" s="42" t="n">
        <v>46388</v>
      </c>
    </row>
    <row r="42">
      <c r="A42" s="42" t="n">
        <v>46389</v>
      </c>
    </row>
    <row r="43">
      <c r="A43" s="42" t="n">
        <v>46393</v>
      </c>
    </row>
    <row r="44">
      <c r="A44" s="42" t="n">
        <v>46414</v>
      </c>
    </row>
    <row r="45">
      <c r="A45" s="42" t="n">
        <v>46415</v>
      </c>
    </row>
    <row r="46">
      <c r="A46" s="42" t="n">
        <v>46454</v>
      </c>
    </row>
    <row r="47">
      <c r="A47" s="42" t="n">
        <v>46501</v>
      </c>
    </row>
    <row r="48">
      <c r="A48" s="42" t="n">
        <v>46508</v>
      </c>
    </row>
    <row r="49">
      <c r="A49" s="42" t="n">
        <v>46516</v>
      </c>
    </row>
    <row r="50">
      <c r="A50" s="42" t="n">
        <v>46535</v>
      </c>
    </row>
    <row r="51">
      <c r="A51" s="42" t="n">
        <v>46573</v>
      </c>
    </row>
    <row r="52">
      <c r="A52" s="42" t="n">
        <v>46651</v>
      </c>
    </row>
    <row r="53">
      <c r="A53" s="42" t="n">
        <v>46752</v>
      </c>
    </row>
    <row r="54">
      <c r="A54" s="42" t="n">
        <v>46753</v>
      </c>
    </row>
    <row r="55">
      <c r="A55" s="42" t="n">
        <v>46754</v>
      </c>
    </row>
    <row r="56">
      <c r="A56" s="42" t="n">
        <v>46758</v>
      </c>
    </row>
    <row r="57">
      <c r="A57" s="42" t="n">
        <v>46779</v>
      </c>
    </row>
    <row r="58">
      <c r="A58" s="42" t="n">
        <v>46780</v>
      </c>
    </row>
    <row r="59">
      <c r="A59" s="42" t="n">
        <v>46820</v>
      </c>
    </row>
    <row r="60">
      <c r="A60" s="42" t="n">
        <v>46867</v>
      </c>
    </row>
    <row r="61">
      <c r="A61" s="42" t="n">
        <v>46874</v>
      </c>
    </row>
    <row r="62">
      <c r="A62" s="42" t="n">
        <v>46882</v>
      </c>
    </row>
    <row r="63">
      <c r="A63" s="42" t="n">
        <v>46901</v>
      </c>
    </row>
    <row r="64">
      <c r="A64" s="42" t="n">
        <v>46939</v>
      </c>
    </row>
    <row r="65">
      <c r="A65" s="42" t="n">
        <v>47017</v>
      </c>
    </row>
    <row r="66">
      <c r="A66" s="42" t="n">
        <v>47118</v>
      </c>
    </row>
    <row r="67">
      <c r="A67" s="42" t="n">
        <v>47119</v>
      </c>
    </row>
    <row r="68">
      <c r="A68" s="42" t="n">
        <v>47120</v>
      </c>
    </row>
    <row r="69">
      <c r="A69" s="42" t="n">
        <v>47124</v>
      </c>
    </row>
    <row r="70">
      <c r="A70" s="42" t="n">
        <v>47145</v>
      </c>
    </row>
    <row r="71">
      <c r="A71" s="42" t="n">
        <v>47146</v>
      </c>
    </row>
    <row r="72">
      <c r="A72" s="42" t="n">
        <v>47185</v>
      </c>
    </row>
    <row r="73">
      <c r="A73" s="42" t="n">
        <v>47232</v>
      </c>
    </row>
    <row r="74">
      <c r="A74" s="42" t="n">
        <v>47239</v>
      </c>
    </row>
    <row r="75">
      <c r="A75" s="42" t="n">
        <v>47247</v>
      </c>
    </row>
    <row r="76">
      <c r="A76" s="42" t="n">
        <v>47266</v>
      </c>
    </row>
    <row r="77">
      <c r="A77" s="42" t="n">
        <v>47304</v>
      </c>
    </row>
    <row r="78">
      <c r="A78" s="42" t="n">
        <v>47382</v>
      </c>
    </row>
    <row r="79">
      <c r="A79" s="42" t="n">
        <v>47483</v>
      </c>
    </row>
    <row r="80">
      <c r="A80" s="42" t="n">
        <v>47484</v>
      </c>
    </row>
    <row r="81">
      <c r="A81" s="42" t="n">
        <v>47485</v>
      </c>
    </row>
    <row r="82">
      <c r="A82" s="42" t="n">
        <v>47489</v>
      </c>
    </row>
    <row r="83">
      <c r="A83" s="42" t="n">
        <v>47510</v>
      </c>
    </row>
    <row r="84">
      <c r="A84" s="42" t="n">
        <v>47511</v>
      </c>
    </row>
    <row r="85">
      <c r="A85" s="42" t="n">
        <v>47550</v>
      </c>
    </row>
    <row r="86">
      <c r="A86" s="42" t="n">
        <v>47597</v>
      </c>
    </row>
    <row r="87">
      <c r="A87" s="42" t="n">
        <v>47604</v>
      </c>
    </row>
    <row r="88">
      <c r="A88" s="42" t="n">
        <v>47612</v>
      </c>
    </row>
    <row r="89">
      <c r="A89" s="42" t="n">
        <v>47631</v>
      </c>
    </row>
    <row r="90">
      <c r="A90" s="42" t="n">
        <v>47669</v>
      </c>
    </row>
    <row r="91">
      <c r="A91" s="42" t="n">
        <v>47747</v>
      </c>
    </row>
    <row r="92">
      <c r="A92" s="42" t="n">
        <v>47848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F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52" customWidth="1" min="3" max="3"/>
  </cols>
  <sheetData>
    <row r="1" ht="28" customHeight="1">
      <c r="A1" s="3" t="inlineStr">
        <is>
          <t>DC LOAN CALCULATOR — Amortized Schedule</t>
        </is>
      </c>
    </row>
    <row r="2">
      <c r="A2" s="4" t="inlineStr">
        <is>
          <t>Parameter</t>
        </is>
      </c>
      <c r="B2" s="4" t="inlineStr">
        <is>
          <t>Value</t>
        </is>
      </c>
      <c r="C2" s="4" t="inlineStr">
        <is>
          <t>Units / Notes</t>
        </is>
      </c>
    </row>
    <row r="3">
      <c r="A3" s="5" t="inlineStr">
        <is>
          <t>LOAN PARAMETERS</t>
        </is>
      </c>
      <c r="B3" s="43" t="n"/>
      <c r="C3" s="44" t="n"/>
    </row>
    <row r="4">
      <c r="A4" s="6" t="inlineStr">
        <is>
          <t>Loan Amount</t>
        </is>
      </c>
      <c r="B4" s="45" t="n">
        <v>1500000</v>
      </c>
      <c r="C4" s="8" t="inlineStr">
        <is>
          <t>AMD</t>
        </is>
      </c>
    </row>
    <row r="5">
      <c r="A5" s="6" t="inlineStr">
        <is>
          <t>Annual Interest Rate</t>
        </is>
      </c>
      <c r="B5" s="46" t="n">
        <v>0.11</v>
      </c>
      <c r="C5" s="8" t="inlineStr">
        <is>
          <t>Daily % stored in DB (0.11 = 0.11%/day = 40.15%/yr) — e.g. contract 28 = 0.11</t>
        </is>
      </c>
    </row>
    <row r="6">
      <c r="A6" s="6" t="inlineStr">
        <is>
          <t>Annual Fee Rate</t>
        </is>
      </c>
      <c r="B6" s="46" t="n">
        <v>0</v>
      </c>
      <c r="C6" s="8" t="inlineStr">
        <is>
          <t>Decimal (0.02 = 2%)</t>
        </is>
      </c>
    </row>
    <row r="7">
      <c r="A7" s="6" t="n"/>
      <c r="B7" s="46" t="n"/>
      <c r="C7" s="8" t="n"/>
    </row>
    <row r="8">
      <c r="A8" s="6" t="inlineStr">
        <is>
          <t>Loan Start Date</t>
        </is>
      </c>
      <c r="B8" s="47" t="n">
        <v>46091</v>
      </c>
      <c r="C8" s="8" t="inlineStr">
        <is>
          <t>YYYY-MM-DD</t>
        </is>
      </c>
    </row>
    <row r="9">
      <c r="A9" s="6" t="inlineStr">
        <is>
          <t>First Payment Date</t>
        </is>
      </c>
      <c r="B9" s="47" t="n">
        <v>46122</v>
      </c>
      <c r="C9" s="8" t="inlineStr">
        <is>
          <t>YYYY-MM-DD</t>
        </is>
      </c>
    </row>
    <row r="10">
      <c r="A10" s="6" t="inlineStr">
        <is>
          <t>Tenure (months)</t>
        </is>
      </c>
      <c r="B10" s="11" t="n">
        <v>60</v>
      </c>
      <c r="C10" s="8" t="inlineStr">
        <is>
          <t>months</t>
        </is>
      </c>
    </row>
    <row r="11">
      <c r="A11" s="5" t="inlineStr">
        <is>
          <t>CONFIGURATION</t>
        </is>
      </c>
      <c r="B11" s="43" t="n"/>
      <c r="C11" s="44" t="n"/>
    </row>
    <row r="12">
      <c r="A12" s="6" t="inlineStr">
        <is>
          <t>Day Count Convention</t>
        </is>
      </c>
      <c r="B12" s="12" t="inlineStr">
        <is>
          <t>Actual</t>
        </is>
      </c>
      <c r="C12" s="6" t="inlineStr">
        <is>
          <t>dropdown</t>
        </is>
      </c>
    </row>
    <row r="13">
      <c r="A13" s="6" t="inlineStr">
        <is>
          <t>Extra Payment Mode</t>
        </is>
      </c>
      <c r="B13" s="12" t="inlineStr">
        <is>
          <t>Reduce Tenure</t>
        </is>
      </c>
      <c r="C13" s="6" t="inlineStr">
        <is>
          <t>dropdown</t>
        </is>
      </c>
    </row>
    <row r="15">
      <c r="A15" s="5" t="inlineStr">
        <is>
          <t>DERIVED CALCULATIONS  (formulas — do not edit)</t>
        </is>
      </c>
      <c r="B15" s="43" t="n"/>
      <c r="C15" s="44" t="n"/>
    </row>
    <row r="16">
      <c r="A16" s="6" t="inlineStr">
        <is>
          <t>Combined Monthly Rate</t>
        </is>
      </c>
      <c r="B16" s="48">
        <f>B5*365/100/12+B6/100/12</f>
        <v/>
      </c>
      <c r="C16" s="14" t="inlineStr">
        <is>
          <t>Source: ContractService.php L466-467 — interestAnnualPercent = rate*365 → monthlyRate = annualPercent/100/12  (rate stored as daily-%, so *365 gives annual-%, /100 gives decimal, /12 gives monthly)</t>
        </is>
      </c>
    </row>
    <row r="17">
      <c r="A17" s="6" t="inlineStr">
        <is>
          <t>Monthly Payment (EMI)</t>
        </is>
      </c>
      <c r="B17" s="49">
        <f>-PMT(B16,B10,B4)</f>
        <v/>
      </c>
      <c r="C17" s="14" t="inlineStr">
        <is>
          <t>Source: ContractService.php L474 — -excelPmt(allMonthlyRate, months, loanAmount)</t>
        </is>
      </c>
    </row>
    <row r="18">
      <c r="A18" s="6" t="inlineStr">
        <is>
          <t>Total Scheduled Payments</t>
        </is>
      </c>
      <c r="B18" s="49">
        <f>B17*B10</f>
        <v/>
      </c>
      <c r="C18" s="14" t="inlineStr">
        <is>
          <t>Sum of all EMIs</t>
        </is>
      </c>
    </row>
    <row r="19">
      <c r="A19" s="6" t="inlineStr">
        <is>
          <t>Total Interest + Fee Cost</t>
        </is>
      </c>
      <c r="B19" s="49">
        <f>B18-B4</f>
        <v/>
      </c>
      <c r="C19" s="14" t="inlineStr">
        <is>
          <t>Total cost of credit</t>
        </is>
      </c>
    </row>
    <row r="20">
      <c r="A20" s="6" t="inlineStr">
        <is>
          <t>Effective Annual Rate (approx)</t>
        </is>
      </c>
      <c r="B20" s="50">
        <f>(1+B16)^12-1</f>
        <v/>
      </c>
      <c r="C20" s="14" t="inlineStr">
        <is>
          <t>Approximate — backend uses XIRR; see EffectiveRateService.php</t>
        </is>
      </c>
    </row>
  </sheetData>
  <mergeCells count="4">
    <mergeCell ref="A15:C15"/>
    <mergeCell ref="A3:C3"/>
    <mergeCell ref="A1:F1"/>
    <mergeCell ref="A11:C11"/>
  </mergeCells>
  <dataValidations count="2">
    <dataValidation sqref="B12" showDropDown="0" showInputMessage="0" showErrorMessage="0" allowBlank="0" type="list">
      <formula1>"Actual,360"</formula1>
    </dataValidation>
    <dataValidation sqref="B13" showDropDown="0" showInputMessage="0" showErrorMessage="0" allowBlank="0" type="list">
      <formula1>"Reduce Tenure,Reduce Installment"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375623"/>
    <outlinePr summaryBelow="1" summaryRight="1"/>
    <pageSetUpPr/>
  </sheetPr>
  <dimension ref="A1:S6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3" customWidth="1" min="2" max="2"/>
    <col width="13" customWidth="1" min="3" max="3"/>
    <col width="8" customWidth="1" min="4" max="4"/>
    <col width="16" customWidth="1" min="5" max="5"/>
    <col width="16" customWidth="1" min="6" max="6"/>
    <col width="16" customWidth="1" min="7" max="7"/>
    <col width="16" customWidth="1" min="8" max="8"/>
    <col width="13" customWidth="1" min="9" max="9"/>
    <col width="16" customWidth="1" min="10" max="10"/>
    <col width="16" customWidth="1" min="11" max="11"/>
    <col width="14" customWidth="1" min="12" max="12"/>
    <col width="14" customWidth="1" min="13" max="13"/>
    <col width="14" customWidth="1" min="14" max="14"/>
    <col width="16" customWidth="1" min="15" max="15"/>
    <col width="12" customWidth="1" min="16" max="16"/>
    <col width="12" customWidth="1" min="17" max="17"/>
  </cols>
  <sheetData>
    <row r="1" ht="26" customHeight="1">
      <c r="A1" s="17" t="inlineStr">
        <is>
          <t>AMORTIZATION SCHEDULE — DC_New_backend logic</t>
        </is>
      </c>
    </row>
    <row r="2" ht="34" customHeight="1">
      <c r="A2" s="18" t="inlineStr">
        <is>
          <t>#</t>
        </is>
      </c>
      <c r="B2" s="18" t="inlineStr">
        <is>
          <t>Period
Start</t>
        </is>
      </c>
      <c r="C2" s="18" t="inlineStr">
        <is>
          <t>Due Date
(adj.)</t>
        </is>
      </c>
      <c r="D2" s="18" t="inlineStr">
        <is>
          <t>Days</t>
        </is>
      </c>
      <c r="E2" s="18" t="inlineStr">
        <is>
          <t>Opening
Balance</t>
        </is>
      </c>
      <c r="F2" s="18" t="inlineStr">
        <is>
          <t>Accrued
Interest</t>
        </is>
      </c>
      <c r="G2" s="18" t="inlineStr">
        <is>
          <t>Principal
Due</t>
        </is>
      </c>
      <c r="H2" s="18" t="inlineStr">
        <is>
          <t>Payment
Received</t>
        </is>
      </c>
      <c r="I2" s="18" t="inlineStr">
        <is>
          <t>Payment
Date</t>
        </is>
      </c>
      <c r="J2" s="18" t="inlineStr">
        <is>
          <t>Interest
Paid</t>
        </is>
      </c>
      <c r="K2" s="18" t="inlineStr">
        <is>
          <t>Principal
Paid</t>
        </is>
      </c>
      <c r="L2" s="18" t="inlineStr">
        <is>
          <t>Unpaid
Carried</t>
        </is>
      </c>
      <c r="M2" s="18" t="inlineStr">
        <is>
          <t>Closing
Balance</t>
        </is>
      </c>
      <c r="N2" s="18" t="inlineStr">
        <is>
          <t>Status</t>
        </is>
      </c>
      <c r="O2" s="61" t="n"/>
      <c r="P2" s="61" t="n"/>
      <c r="Q2" s="61" t="n"/>
      <c r="R2" s="62" t="n"/>
      <c r="S2" s="62" t="n"/>
    </row>
    <row r="3">
      <c r="A3" s="63" t="n">
        <v>1</v>
      </c>
      <c r="B3" s="64" t="n">
        <v>46091</v>
      </c>
      <c r="C3" s="65" t="n">
        <v>46122</v>
      </c>
      <c r="D3" s="66" t="n">
        <v>31</v>
      </c>
      <c r="E3" s="60" t="n">
        <v>1500000</v>
      </c>
      <c r="F3" s="49" t="n">
        <v>51150</v>
      </c>
      <c r="G3" s="49" t="n">
        <v>7126.9397412341</v>
      </c>
      <c r="H3" s="60" t="n">
        <v>58276.9397412341</v>
      </c>
      <c r="I3" s="64" t="n">
        <v>45703</v>
      </c>
      <c r="J3" s="49" t="n">
        <v>51150</v>
      </c>
      <c r="K3" s="60" t="n">
        <v>7126.9397412341</v>
      </c>
      <c r="L3" s="49" t="n">
        <v>0</v>
      </c>
      <c r="M3" s="49" t="n">
        <v>1492873.060258766</v>
      </c>
      <c r="N3" s="19" t="inlineStr">
        <is>
          <t>Paid</t>
        </is>
      </c>
      <c r="O3" s="61" t="n"/>
      <c r="P3" s="61" t="n"/>
      <c r="Q3" s="61" t="n"/>
      <c r="R3" s="62" t="n"/>
      <c r="S3" s="62" t="n"/>
    </row>
    <row r="4">
      <c r="A4" s="63" t="n">
        <v>2</v>
      </c>
      <c r="B4" s="64" t="n">
        <v>46122</v>
      </c>
      <c r="C4" s="65" t="n">
        <v>46153</v>
      </c>
      <c r="D4" s="66" t="n">
        <v>31</v>
      </c>
      <c r="E4" s="60" t="n">
        <v>1492873.060258766</v>
      </c>
      <c r="F4" s="49" t="n">
        <v>50906.9713548239</v>
      </c>
      <c r="G4" s="49" t="n">
        <v>7369.9683864102</v>
      </c>
      <c r="H4" s="60" t="n">
        <v>87415.4096118512</v>
      </c>
      <c r="I4" s="64" t="n">
        <v>45736</v>
      </c>
      <c r="J4" s="49" t="n">
        <v>29138.4698706171</v>
      </c>
      <c r="K4" s="60" t="n">
        <v>0</v>
      </c>
      <c r="L4" s="49" t="n">
        <v>29138.4698706171</v>
      </c>
      <c r="M4" s="49" t="n">
        <v>1492873.060258766</v>
      </c>
      <c r="N4" s="19" t="inlineStr">
        <is>
          <t>Partial</t>
        </is>
      </c>
      <c r="O4" s="61" t="n"/>
      <c r="P4" s="61" t="n"/>
      <c r="Q4" s="61" t="n"/>
      <c r="R4" s="62" t="n"/>
      <c r="S4" s="62" t="n"/>
    </row>
    <row r="5">
      <c r="A5" s="63" t="n">
        <v>3</v>
      </c>
      <c r="B5" s="64" t="n">
        <v>46153</v>
      </c>
      <c r="C5" s="65" t="n">
        <v>46183</v>
      </c>
      <c r="D5" s="66" t="n">
        <v>30</v>
      </c>
      <c r="E5" s="60" t="n">
        <v>1485503.091872356</v>
      </c>
      <c r="F5" s="49" t="n">
        <v>49021.6020317877</v>
      </c>
      <c r="G5" s="49" t="n">
        <v>9255.337709446399</v>
      </c>
      <c r="H5" s="60" t="n">
        <v>58276.9397412341</v>
      </c>
      <c r="I5" s="64" t="n">
        <v>45762</v>
      </c>
      <c r="J5" s="49" t="n">
        <v>49021.6020317877</v>
      </c>
      <c r="K5" s="60" t="n">
        <v>9255.337709446399</v>
      </c>
      <c r="L5" s="49" t="n">
        <v>0</v>
      </c>
      <c r="M5" s="49" t="n">
        <v>1476247.754162909</v>
      </c>
      <c r="N5" s="19" t="inlineStr">
        <is>
          <t>Partial</t>
        </is>
      </c>
      <c r="O5" s="61" t="n"/>
      <c r="P5" s="61" t="n"/>
      <c r="Q5" s="61" t="n"/>
      <c r="R5" s="62" t="n"/>
      <c r="S5" s="62" t="n"/>
    </row>
    <row r="6">
      <c r="A6" s="63" t="n">
        <v>4</v>
      </c>
      <c r="B6" s="64" t="n">
        <v>46183</v>
      </c>
      <c r="C6" s="65" t="n">
        <v>46213</v>
      </c>
      <c r="D6" s="66" t="n">
        <v>30</v>
      </c>
      <c r="E6" s="60" t="n">
        <v>1476247.754162909</v>
      </c>
      <c r="F6" s="49" t="n">
        <v>48716.175887376</v>
      </c>
      <c r="G6" s="49" t="n">
        <v>0</v>
      </c>
      <c r="H6" s="60" t="n">
        <v>0</v>
      </c>
      <c r="I6" s="64" t="n"/>
      <c r="J6" s="49" t="n">
        <v>0</v>
      </c>
      <c r="K6" s="60" t="n">
        <v>0</v>
      </c>
      <c r="L6" s="49" t="n">
        <v>48716.175887376</v>
      </c>
      <c r="M6" s="49" t="n">
        <v>1476247.754162909</v>
      </c>
      <c r="N6" s="19" t="inlineStr">
        <is>
          <t>Pending</t>
        </is>
      </c>
      <c r="O6" s="61" t="n"/>
      <c r="P6" s="61" t="n"/>
      <c r="Q6" s="61" t="n"/>
      <c r="R6" s="62" t="n"/>
      <c r="S6" s="62" t="n"/>
    </row>
    <row r="7">
      <c r="A7" s="63" t="n">
        <v>5</v>
      </c>
      <c r="B7" s="64" t="n">
        <v>46213</v>
      </c>
      <c r="C7" s="65" t="n">
        <v>46244</v>
      </c>
      <c r="D7" s="66" t="n">
        <v>31</v>
      </c>
      <c r="E7" s="60" t="n">
        <v>1476247.754162909</v>
      </c>
      <c r="F7" s="49" t="n">
        <v>50340.0484169552</v>
      </c>
      <c r="G7" s="49" t="n">
        <v>0</v>
      </c>
      <c r="H7" s="60" t="n">
        <v>0</v>
      </c>
      <c r="I7" s="64" t="n"/>
      <c r="J7" s="49" t="n">
        <v>0</v>
      </c>
      <c r="K7" s="60" t="n">
        <v>0</v>
      </c>
      <c r="L7" s="49" t="n">
        <v>50340.0484169552</v>
      </c>
      <c r="M7" s="49" t="n">
        <v>1476247.754162909</v>
      </c>
      <c r="N7" s="19" t="inlineStr">
        <is>
          <t>Pending</t>
        </is>
      </c>
      <c r="O7" s="61" t="n"/>
      <c r="P7" s="61" t="n"/>
      <c r="Q7" s="61" t="n"/>
      <c r="R7" s="62" t="n"/>
      <c r="S7" s="62" t="n"/>
    </row>
    <row r="8">
      <c r="A8" s="63" t="n">
        <v>6</v>
      </c>
      <c r="B8" s="64" t="n">
        <v>46244</v>
      </c>
      <c r="C8" s="65" t="n">
        <v>46275</v>
      </c>
      <c r="D8" s="66" t="n">
        <v>31</v>
      </c>
      <c r="E8" s="60" t="n">
        <v>1476247.754162909</v>
      </c>
      <c r="F8" s="49" t="n">
        <v>50340.0484169552</v>
      </c>
      <c r="G8" s="49" t="n">
        <v>0</v>
      </c>
      <c r="H8" s="60" t="n">
        <v>0</v>
      </c>
      <c r="I8" s="64" t="n"/>
      <c r="J8" s="49" t="n">
        <v>0</v>
      </c>
      <c r="K8" s="60" t="n">
        <v>0</v>
      </c>
      <c r="L8" s="49" t="n">
        <v>50340.0484169552</v>
      </c>
      <c r="M8" s="49" t="n">
        <v>1476247.754162909</v>
      </c>
      <c r="N8" s="19" t="inlineStr">
        <is>
          <t>Pending</t>
        </is>
      </c>
      <c r="O8" s="61" t="n"/>
      <c r="P8" s="61" t="n"/>
      <c r="Q8" s="61" t="n"/>
      <c r="R8" s="62" t="n"/>
      <c r="S8" s="62" t="n"/>
    </row>
    <row r="9">
      <c r="A9" s="63" t="n">
        <v>7</v>
      </c>
      <c r="B9" s="64" t="n">
        <v>46275</v>
      </c>
      <c r="C9" s="65" t="n">
        <v>46307</v>
      </c>
      <c r="D9" s="66" t="n">
        <v>32</v>
      </c>
      <c r="E9" s="60" t="n">
        <v>1476247.754162909</v>
      </c>
      <c r="F9" s="49" t="n">
        <v>51963.9209465344</v>
      </c>
      <c r="G9" s="49" t="n">
        <v>0</v>
      </c>
      <c r="H9" s="60" t="n">
        <v>0</v>
      </c>
      <c r="I9" s="64" t="n"/>
      <c r="J9" s="49" t="n">
        <v>0</v>
      </c>
      <c r="K9" s="60" t="n">
        <v>0</v>
      </c>
      <c r="L9" s="49" t="n">
        <v>51963.9209465344</v>
      </c>
      <c r="M9" s="49" t="n">
        <v>1476247.754162909</v>
      </c>
      <c r="N9" s="19" t="inlineStr">
        <is>
          <t>Pending</t>
        </is>
      </c>
      <c r="O9" s="61" t="n"/>
      <c r="P9" s="61" t="n"/>
      <c r="Q9" s="61" t="n"/>
      <c r="R9" s="62" t="n"/>
      <c r="S9" s="62" t="n"/>
    </row>
    <row r="10">
      <c r="A10" s="63" t="n">
        <v>8</v>
      </c>
      <c r="B10" s="64" t="n">
        <v>46307</v>
      </c>
      <c r="C10" s="65" t="n">
        <v>46336</v>
      </c>
      <c r="D10" s="66" t="n">
        <v>29</v>
      </c>
      <c r="E10" s="60" t="n">
        <v>1476247.754162909</v>
      </c>
      <c r="F10" s="49" t="n">
        <v>47092.3033577968</v>
      </c>
      <c r="G10" s="49" t="n">
        <v>0</v>
      </c>
      <c r="H10" s="60" t="n">
        <v>0</v>
      </c>
      <c r="I10" s="64" t="n"/>
      <c r="J10" s="49" t="n">
        <v>0</v>
      </c>
      <c r="K10" s="60" t="n">
        <v>0</v>
      </c>
      <c r="L10" s="49" t="n">
        <v>47092.3033577968</v>
      </c>
      <c r="M10" s="49" t="n">
        <v>1476247.754162909</v>
      </c>
      <c r="N10" s="19" t="inlineStr">
        <is>
          <t>Pending</t>
        </is>
      </c>
      <c r="O10" s="61" t="n"/>
      <c r="P10" s="61" t="n"/>
      <c r="Q10" s="61" t="n"/>
      <c r="R10" s="62" t="n"/>
      <c r="S10" s="62" t="n"/>
    </row>
    <row r="11">
      <c r="A11" s="63" t="n">
        <v>9</v>
      </c>
      <c r="B11" s="64" t="n">
        <v>46336</v>
      </c>
      <c r="C11" s="65" t="n">
        <v>46366</v>
      </c>
      <c r="D11" s="66" t="n">
        <v>30</v>
      </c>
      <c r="E11" s="60" t="n">
        <v>1476247.754162909</v>
      </c>
      <c r="F11" s="49" t="n">
        <v>48716.175887376</v>
      </c>
      <c r="G11" s="49" t="n">
        <v>0</v>
      </c>
      <c r="H11" s="60" t="n">
        <v>0</v>
      </c>
      <c r="I11" s="64" t="n"/>
      <c r="J11" s="49" t="n">
        <v>0</v>
      </c>
      <c r="K11" s="60" t="n">
        <v>0</v>
      </c>
      <c r="L11" s="49" t="n">
        <v>48716.175887376</v>
      </c>
      <c r="M11" s="49" t="n">
        <v>1476247.754162909</v>
      </c>
      <c r="N11" s="19" t="inlineStr">
        <is>
          <t>Pending</t>
        </is>
      </c>
      <c r="O11" s="61" t="n"/>
      <c r="P11" s="61" t="n"/>
      <c r="Q11" s="61" t="n"/>
      <c r="R11" s="62" t="n"/>
      <c r="S11" s="62" t="n"/>
    </row>
    <row r="12">
      <c r="A12" s="63" t="n">
        <v>10</v>
      </c>
      <c r="B12" s="64" t="n">
        <v>46366</v>
      </c>
      <c r="C12" s="65" t="n">
        <v>46398</v>
      </c>
      <c r="D12" s="66" t="n">
        <v>32</v>
      </c>
      <c r="E12" s="60" t="n">
        <v>1476247.754162909</v>
      </c>
      <c r="F12" s="49" t="n">
        <v>51963.9209465344</v>
      </c>
      <c r="G12" s="49" t="n">
        <v>6981.0648517866</v>
      </c>
      <c r="H12" s="60" t="n">
        <v>0</v>
      </c>
      <c r="I12" s="64" t="n"/>
      <c r="J12" s="49" t="n">
        <v>0</v>
      </c>
      <c r="K12" s="60" t="n">
        <v>0</v>
      </c>
      <c r="L12" s="49" t="n">
        <v>58944.985798321</v>
      </c>
      <c r="M12" s="49" t="n">
        <v>1476247.754162909</v>
      </c>
      <c r="N12" s="19" t="inlineStr">
        <is>
          <t>Pending</t>
        </is>
      </c>
      <c r="O12" s="61" t="n"/>
      <c r="P12" s="61" t="n"/>
      <c r="Q12" s="61" t="n"/>
      <c r="R12" s="62" t="n"/>
      <c r="S12" s="62" t="n"/>
    </row>
    <row r="13">
      <c r="A13" s="63" t="n">
        <v>11</v>
      </c>
      <c r="B13" s="64" t="n">
        <v>46398</v>
      </c>
      <c r="C13" s="65" t="n">
        <v>46428</v>
      </c>
      <c r="D13" s="66" t="n">
        <v>30</v>
      </c>
      <c r="E13" s="60" t="n">
        <v>1469266.689311123</v>
      </c>
      <c r="F13" s="49" t="n">
        <v>48485.800747267</v>
      </c>
      <c r="G13" s="49" t="n">
        <v>11714.2780054278</v>
      </c>
      <c r="H13" s="60" t="n">
        <v>0</v>
      </c>
      <c r="I13" s="64" t="n"/>
      <c r="J13" s="49" t="n">
        <v>0</v>
      </c>
      <c r="K13" s="60" t="n">
        <v>0</v>
      </c>
      <c r="L13" s="49" t="n">
        <v>60200.0787526948</v>
      </c>
      <c r="M13" s="49" t="n">
        <v>1469266.689311123</v>
      </c>
      <c r="N13" s="19" t="inlineStr">
        <is>
          <t>Pending</t>
        </is>
      </c>
      <c r="O13" s="61" t="n"/>
      <c r="P13" s="61" t="n"/>
      <c r="Q13" s="61" t="n"/>
      <c r="R13" s="62" t="n"/>
      <c r="S13" s="62" t="n"/>
    </row>
    <row r="14">
      <c r="A14" s="63" t="n">
        <v>12</v>
      </c>
      <c r="B14" s="64" t="n">
        <v>46428</v>
      </c>
      <c r="C14" s="65" t="n">
        <v>46456</v>
      </c>
      <c r="D14" s="66" t="n">
        <v>28</v>
      </c>
      <c r="E14" s="60" t="n">
        <v>1457552.411305695</v>
      </c>
      <c r="F14" s="49" t="n">
        <v>44892.6142682154</v>
      </c>
      <c r="G14" s="49" t="n">
        <v>15179.2552170487</v>
      </c>
      <c r="H14" s="60" t="n">
        <v>0</v>
      </c>
      <c r="I14" s="64" t="n"/>
      <c r="J14" s="49" t="n">
        <v>0</v>
      </c>
      <c r="K14" s="60" t="n">
        <v>0</v>
      </c>
      <c r="L14" s="49" t="n">
        <v>60071.8694852641</v>
      </c>
      <c r="M14" s="49" t="n">
        <v>1457552.411305695</v>
      </c>
      <c r="N14" s="19" t="inlineStr">
        <is>
          <t>Pending</t>
        </is>
      </c>
      <c r="O14" s="61" t="n"/>
      <c r="P14" s="61" t="n"/>
      <c r="Q14" s="61" t="n"/>
      <c r="R14" s="62" t="n"/>
      <c r="S14" s="62" t="n"/>
    </row>
    <row r="15">
      <c r="A15" s="63" t="n">
        <v>13</v>
      </c>
      <c r="B15" s="64" t="n">
        <v>46456</v>
      </c>
      <c r="C15" s="65" t="n">
        <v>46489</v>
      </c>
      <c r="D15" s="66" t="n">
        <v>33</v>
      </c>
      <c r="E15" s="60" t="n">
        <v>1442373.156088646</v>
      </c>
      <c r="F15" s="49" t="n">
        <v>52358.1455660179</v>
      </c>
      <c r="G15" s="49" t="n">
        <v>8034.2470878231</v>
      </c>
      <c r="H15" s="60" t="n">
        <v>0</v>
      </c>
      <c r="I15" s="64" t="n"/>
      <c r="J15" s="49" t="n">
        <v>0</v>
      </c>
      <c r="K15" s="60" t="n">
        <v>0</v>
      </c>
      <c r="L15" s="49" t="n">
        <v>60392.3926538409</v>
      </c>
      <c r="M15" s="49" t="n">
        <v>1442373.156088646</v>
      </c>
      <c r="N15" s="19" t="inlineStr">
        <is>
          <t>Pending</t>
        </is>
      </c>
      <c r="O15" s="61" t="n"/>
      <c r="P15" s="61" t="n"/>
      <c r="Q15" s="61" t="n"/>
      <c r="R15" s="62" t="n"/>
      <c r="S15" s="62" t="n"/>
    </row>
    <row r="16">
      <c r="A16" s="63" t="n">
        <v>14</v>
      </c>
      <c r="B16" s="64" t="n">
        <v>46489</v>
      </c>
      <c r="C16" s="65" t="n">
        <v>46517</v>
      </c>
      <c r="D16" s="66" t="n">
        <v>28</v>
      </c>
      <c r="E16" s="60" t="n">
        <v>1434338.909000823</v>
      </c>
      <c r="F16" s="49" t="n">
        <v>44177.6383972253</v>
      </c>
      <c r="G16" s="49" t="n">
        <v>15894.2310880388</v>
      </c>
      <c r="H16" s="60" t="n">
        <v>0</v>
      </c>
      <c r="I16" s="64" t="n"/>
      <c r="J16" s="49" t="n">
        <v>0</v>
      </c>
      <c r="K16" s="60" t="n">
        <v>0</v>
      </c>
      <c r="L16" s="49" t="n">
        <v>60071.8694852641</v>
      </c>
      <c r="M16" s="49" t="n">
        <v>1434338.909000823</v>
      </c>
      <c r="N16" s="19" t="inlineStr">
        <is>
          <t>Pending</t>
        </is>
      </c>
      <c r="O16" s="61" t="n"/>
      <c r="P16" s="61" t="n"/>
      <c r="Q16" s="61" t="n"/>
      <c r="R16" s="62" t="n"/>
      <c r="S16" s="62" t="n"/>
    </row>
    <row r="17">
      <c r="A17" s="63" t="n">
        <v>15</v>
      </c>
      <c r="B17" s="64" t="n">
        <v>46517</v>
      </c>
      <c r="C17" s="65" t="n">
        <v>46548</v>
      </c>
      <c r="D17" s="66" t="n">
        <v>31</v>
      </c>
      <c r="E17" s="60" t="n">
        <v>1418444.677912784</v>
      </c>
      <c r="F17" s="49" t="n">
        <v>48368.9635168259</v>
      </c>
      <c r="G17" s="49" t="n">
        <v>11895.2198695842</v>
      </c>
      <c r="H17" s="60" t="n">
        <v>0</v>
      </c>
      <c r="I17" s="64" t="n"/>
      <c r="J17" s="49" t="n">
        <v>0</v>
      </c>
      <c r="K17" s="60" t="n">
        <v>0</v>
      </c>
      <c r="L17" s="49" t="n">
        <v>60264.1833864102</v>
      </c>
      <c r="M17" s="49" t="n">
        <v>1418444.677912784</v>
      </c>
      <c r="N17" s="19" t="inlineStr">
        <is>
          <t>Pending</t>
        </is>
      </c>
      <c r="O17" s="61" t="n"/>
      <c r="P17" s="61" t="n"/>
      <c r="Q17" s="61" t="n"/>
      <c r="R17" s="62" t="n"/>
      <c r="S17" s="62" t="n"/>
    </row>
    <row r="18">
      <c r="A18" s="63" t="n">
        <v>16</v>
      </c>
      <c r="B18" s="64" t="n">
        <v>46548</v>
      </c>
      <c r="C18" s="65" t="n">
        <v>46580</v>
      </c>
      <c r="D18" s="66" t="n">
        <v>32</v>
      </c>
      <c r="E18" s="60" t="n">
        <v>1406549.4580432</v>
      </c>
      <c r="F18" s="49" t="n">
        <v>49510.5409231206</v>
      </c>
      <c r="G18" s="49" t="n">
        <v>10817.7470970049</v>
      </c>
      <c r="H18" s="60" t="n">
        <v>0</v>
      </c>
      <c r="I18" s="64" t="n"/>
      <c r="J18" s="49" t="n">
        <v>0</v>
      </c>
      <c r="K18" s="60" t="n">
        <v>0</v>
      </c>
      <c r="L18" s="49" t="n">
        <v>60328.2880201256</v>
      </c>
      <c r="M18" s="49" t="n">
        <v>1406549.4580432</v>
      </c>
      <c r="N18" s="19" t="inlineStr">
        <is>
          <t>Pending</t>
        </is>
      </c>
      <c r="O18" s="61" t="n"/>
      <c r="P18" s="61" t="n"/>
      <c r="Q18" s="61" t="n"/>
      <c r="R18" s="62" t="n"/>
      <c r="S18" s="62" t="n"/>
    </row>
    <row r="19">
      <c r="A19" s="63" t="n">
        <v>17</v>
      </c>
      <c r="B19" s="64" t="n">
        <v>46580</v>
      </c>
      <c r="C19" s="65" t="n">
        <v>46609</v>
      </c>
      <c r="D19" s="66" t="n">
        <v>29</v>
      </c>
      <c r="E19" s="60" t="n">
        <v>1395731.710946195</v>
      </c>
      <c r="F19" s="49" t="n">
        <v>44523.8415791836</v>
      </c>
      <c r="G19" s="49" t="n">
        <v>15612.1325397958</v>
      </c>
      <c r="H19" s="60" t="n">
        <v>0</v>
      </c>
      <c r="I19" s="64" t="n"/>
      <c r="J19" s="49" t="n">
        <v>0</v>
      </c>
      <c r="K19" s="60" t="n">
        <v>0</v>
      </c>
      <c r="L19" s="49" t="n">
        <v>60135.9741189795</v>
      </c>
      <c r="M19" s="49" t="n">
        <v>1395731.710946195</v>
      </c>
      <c r="N19" s="19" t="inlineStr">
        <is>
          <t>Pending</t>
        </is>
      </c>
      <c r="O19" s="61" t="n"/>
      <c r="P19" s="61" t="n"/>
      <c r="Q19" s="61" t="n"/>
      <c r="R19" s="62" t="n"/>
      <c r="S19" s="62" t="n"/>
    </row>
    <row r="20">
      <c r="A20" s="63" t="n">
        <v>18</v>
      </c>
      <c r="B20" s="64" t="n">
        <v>46609</v>
      </c>
      <c r="C20" s="65" t="n">
        <v>46640</v>
      </c>
      <c r="D20" s="66" t="n">
        <v>31</v>
      </c>
      <c r="E20" s="60" t="n">
        <v>1380119.578406399</v>
      </c>
      <c r="F20" s="49" t="n">
        <v>47062.0776236582</v>
      </c>
      <c r="G20" s="49" t="n">
        <v>13202.105762752</v>
      </c>
      <c r="H20" s="60" t="n">
        <v>0</v>
      </c>
      <c r="I20" s="64" t="n"/>
      <c r="J20" s="49" t="n">
        <v>0</v>
      </c>
      <c r="K20" s="60" t="n">
        <v>0</v>
      </c>
      <c r="L20" s="49" t="n">
        <v>60264.1833864102</v>
      </c>
      <c r="M20" s="49" t="n">
        <v>1380119.578406399</v>
      </c>
      <c r="N20" s="19" t="inlineStr">
        <is>
          <t>Pending</t>
        </is>
      </c>
      <c r="O20" s="61" t="n"/>
      <c r="P20" s="61" t="n"/>
      <c r="Q20" s="61" t="n"/>
      <c r="R20" s="62" t="n"/>
      <c r="S20" s="62" t="n"/>
    </row>
    <row r="21">
      <c r="A21" s="63" t="n">
        <v>19</v>
      </c>
      <c r="B21" s="64" t="n">
        <v>46640</v>
      </c>
      <c r="C21" s="65" t="n">
        <v>46671</v>
      </c>
      <c r="D21" s="66" t="n">
        <v>31</v>
      </c>
      <c r="E21" s="60" t="n">
        <v>1366917.472643647</v>
      </c>
      <c r="F21" s="49" t="n">
        <v>46611.8858171484</v>
      </c>
      <c r="G21" s="49" t="n">
        <v>13652.2975692618</v>
      </c>
      <c r="H21" s="60" t="n">
        <v>0</v>
      </c>
      <c r="I21" s="64" t="n"/>
      <c r="J21" s="49" t="n">
        <v>0</v>
      </c>
      <c r="K21" s="60" t="n">
        <v>0</v>
      </c>
      <c r="L21" s="49" t="n">
        <v>60264.1833864102</v>
      </c>
      <c r="M21" s="49" t="n">
        <v>1366917.472643647</v>
      </c>
      <c r="N21" s="19" t="inlineStr">
        <is>
          <t>Pending</t>
        </is>
      </c>
      <c r="O21" s="61" t="n"/>
      <c r="P21" s="61" t="n"/>
      <c r="Q21" s="61" t="n"/>
      <c r="R21" s="62" t="n"/>
      <c r="S21" s="62" t="n"/>
    </row>
    <row r="22">
      <c r="A22" s="63" t="n">
        <v>20</v>
      </c>
      <c r="B22" s="64" t="n">
        <v>46671</v>
      </c>
      <c r="C22" s="65" t="n">
        <v>46701</v>
      </c>
      <c r="D22" s="66" t="n">
        <v>30</v>
      </c>
      <c r="E22" s="60" t="n">
        <v>1353265.175074385</v>
      </c>
      <c r="F22" s="49" t="n">
        <v>44657.7507774547</v>
      </c>
      <c r="G22" s="49" t="n">
        <v>15542.3279752401</v>
      </c>
      <c r="H22" s="60" t="n">
        <v>0</v>
      </c>
      <c r="I22" s="64" t="n"/>
      <c r="J22" s="49" t="n">
        <v>0</v>
      </c>
      <c r="K22" s="60" t="n">
        <v>0</v>
      </c>
      <c r="L22" s="49" t="n">
        <v>60200.0787526948</v>
      </c>
      <c r="M22" s="49" t="n">
        <v>1353265.175074385</v>
      </c>
      <c r="N22" s="19" t="inlineStr">
        <is>
          <t>Pending</t>
        </is>
      </c>
      <c r="O22" s="61" t="n"/>
      <c r="P22" s="61" t="n"/>
      <c r="Q22" s="61" t="n"/>
      <c r="R22" s="62" t="n"/>
      <c r="S22" s="62" t="n"/>
    </row>
    <row r="23">
      <c r="A23" s="63" t="n">
        <v>21</v>
      </c>
      <c r="B23" s="64" t="n">
        <v>46701</v>
      </c>
      <c r="C23" s="65" t="n">
        <v>46731</v>
      </c>
      <c r="D23" s="66" t="n">
        <v>30</v>
      </c>
      <c r="E23" s="60" t="n">
        <v>1337722.847099145</v>
      </c>
      <c r="F23" s="49" t="n">
        <v>44144.8539542718</v>
      </c>
      <c r="G23" s="49" t="n">
        <v>16055.224798423</v>
      </c>
      <c r="H23" s="60" t="n">
        <v>0</v>
      </c>
      <c r="I23" s="64" t="n"/>
      <c r="J23" s="49" t="n">
        <v>0</v>
      </c>
      <c r="K23" s="60" t="n">
        <v>0</v>
      </c>
      <c r="L23" s="49" t="n">
        <v>60200.0787526948</v>
      </c>
      <c r="M23" s="49" t="n">
        <v>1337722.847099145</v>
      </c>
      <c r="N23" s="19" t="inlineStr">
        <is>
          <t>Pending</t>
        </is>
      </c>
      <c r="O23" s="61" t="n"/>
      <c r="P23" s="61" t="n"/>
      <c r="Q23" s="61" t="n"/>
      <c r="R23" s="62" t="n"/>
      <c r="S23" s="62" t="n"/>
    </row>
    <row r="24">
      <c r="A24" s="63" t="n">
        <v>22</v>
      </c>
      <c r="B24" s="64" t="n">
        <v>46731</v>
      </c>
      <c r="C24" s="65" t="n">
        <v>46762</v>
      </c>
      <c r="D24" s="66" t="n">
        <v>31</v>
      </c>
      <c r="E24" s="60" t="n">
        <v>1321667.622300722</v>
      </c>
      <c r="F24" s="49" t="n">
        <v>45068.8659204546</v>
      </c>
      <c r="G24" s="49" t="n">
        <v>15195.3174659556</v>
      </c>
      <c r="H24" s="60" t="n">
        <v>0</v>
      </c>
      <c r="I24" s="64" t="n"/>
      <c r="J24" s="49" t="n">
        <v>0</v>
      </c>
      <c r="K24" s="60" t="n">
        <v>0</v>
      </c>
      <c r="L24" s="49" t="n">
        <v>60264.1833864102</v>
      </c>
      <c r="M24" s="49" t="n">
        <v>1321667.622300722</v>
      </c>
      <c r="N24" s="19" t="inlineStr">
        <is>
          <t>Pending</t>
        </is>
      </c>
      <c r="O24" s="61" t="n"/>
      <c r="P24" s="61" t="n"/>
      <c r="Q24" s="61" t="n"/>
      <c r="R24" s="62" t="n"/>
      <c r="S24" s="62" t="n"/>
    </row>
    <row r="25">
      <c r="A25" s="63" t="n">
        <v>23</v>
      </c>
      <c r="B25" s="64" t="n">
        <v>46762</v>
      </c>
      <c r="C25" s="65" t="n">
        <v>46793</v>
      </c>
      <c r="D25" s="66" t="n">
        <v>31</v>
      </c>
      <c r="E25" s="60" t="n">
        <v>1306472.304834767</v>
      </c>
      <c r="F25" s="49" t="n">
        <v>44550.7055948655</v>
      </c>
      <c r="G25" s="49" t="n">
        <v>15713.4777915446</v>
      </c>
      <c r="H25" s="60" t="n">
        <v>0</v>
      </c>
      <c r="I25" s="64" t="n"/>
      <c r="J25" s="49" t="n">
        <v>0</v>
      </c>
      <c r="K25" s="60" t="n">
        <v>0</v>
      </c>
      <c r="L25" s="49" t="n">
        <v>60264.1833864102</v>
      </c>
      <c r="M25" s="49" t="n">
        <v>1306472.304834767</v>
      </c>
      <c r="N25" s="19" t="inlineStr">
        <is>
          <t>Pending</t>
        </is>
      </c>
      <c r="O25" s="61" t="n"/>
      <c r="P25" s="61" t="n"/>
      <c r="Q25" s="61" t="n"/>
      <c r="R25" s="62" t="n"/>
      <c r="S25" s="62" t="n"/>
    </row>
    <row r="26">
      <c r="A26" s="63" t="n">
        <v>24</v>
      </c>
      <c r="B26" s="64" t="n">
        <v>46793</v>
      </c>
      <c r="C26" s="65" t="n">
        <v>46822</v>
      </c>
      <c r="D26" s="66" t="n">
        <v>29</v>
      </c>
      <c r="E26" s="60" t="n">
        <v>1290758.827043222</v>
      </c>
      <c r="F26" s="49" t="n">
        <v>41175.2065826788</v>
      </c>
      <c r="G26" s="49" t="n">
        <v>18960.7675363007</v>
      </c>
      <c r="H26" s="60" t="n">
        <v>0</v>
      </c>
      <c r="I26" s="64" t="n"/>
      <c r="J26" s="49" t="n">
        <v>0</v>
      </c>
      <c r="K26" s="60" t="n">
        <v>0</v>
      </c>
      <c r="L26" s="49" t="n">
        <v>60135.9741189795</v>
      </c>
      <c r="M26" s="49" t="n">
        <v>1290758.827043222</v>
      </c>
      <c r="N26" s="19" t="inlineStr">
        <is>
          <t>Pending</t>
        </is>
      </c>
      <c r="O26" s="61" t="n"/>
      <c r="P26" s="61" t="n"/>
      <c r="Q26" s="61" t="n"/>
      <c r="R26" s="62" t="n"/>
      <c r="S26" s="62" t="n"/>
    </row>
    <row r="27">
      <c r="A27" s="63" t="n">
        <v>25</v>
      </c>
      <c r="B27" s="64" t="n">
        <v>46822</v>
      </c>
      <c r="C27" s="65" t="n">
        <v>46853</v>
      </c>
      <c r="D27" s="66" t="n">
        <v>31</v>
      </c>
      <c r="E27" s="60" t="n">
        <v>1271798.059506921</v>
      </c>
      <c r="F27" s="49" t="n">
        <v>43368.313829186</v>
      </c>
      <c r="G27" s="49" t="n">
        <v>16895.8695572242</v>
      </c>
      <c r="H27" s="60" t="n">
        <v>0</v>
      </c>
      <c r="I27" s="64" t="n"/>
      <c r="J27" s="49" t="n">
        <v>0</v>
      </c>
      <c r="K27" s="60" t="n">
        <v>0</v>
      </c>
      <c r="L27" s="49" t="n">
        <v>60264.1833864102</v>
      </c>
      <c r="M27" s="49" t="n">
        <v>1271798.059506921</v>
      </c>
      <c r="N27" s="19" t="inlineStr">
        <is>
          <t>Pending</t>
        </is>
      </c>
      <c r="O27" s="61" t="n"/>
      <c r="P27" s="61" t="n"/>
      <c r="Q27" s="61" t="n"/>
      <c r="R27" s="62" t="n"/>
      <c r="S27" s="62" t="n"/>
    </row>
    <row r="28">
      <c r="A28" s="63" t="n">
        <v>26</v>
      </c>
      <c r="B28" s="64" t="n">
        <v>46853</v>
      </c>
      <c r="C28" s="65" t="n">
        <v>46883</v>
      </c>
      <c r="D28" s="66" t="n">
        <v>30</v>
      </c>
      <c r="E28" s="60" t="n">
        <v>1254902.189949697</v>
      </c>
      <c r="F28" s="49" t="n">
        <v>41411.77226834</v>
      </c>
      <c r="G28" s="49" t="n">
        <v>18788.3064843548</v>
      </c>
      <c r="H28" s="60" t="n">
        <v>0</v>
      </c>
      <c r="I28" s="64" t="n"/>
      <c r="J28" s="49" t="n">
        <v>0</v>
      </c>
      <c r="K28" s="60" t="n">
        <v>0</v>
      </c>
      <c r="L28" s="49" t="n">
        <v>60200.0787526948</v>
      </c>
      <c r="M28" s="49" t="n">
        <v>1254902.189949697</v>
      </c>
      <c r="N28" s="19" t="inlineStr">
        <is>
          <t>Pending</t>
        </is>
      </c>
      <c r="O28" s="61" t="n"/>
      <c r="P28" s="61" t="n"/>
      <c r="Q28" s="61" t="n"/>
      <c r="R28" s="62" t="n"/>
      <c r="S28" s="62" t="n"/>
    </row>
    <row r="29">
      <c r="A29" s="63" t="n">
        <v>27</v>
      </c>
      <c r="B29" s="64" t="n">
        <v>46883</v>
      </c>
      <c r="C29" s="65" t="n">
        <v>46916</v>
      </c>
      <c r="D29" s="66" t="n">
        <v>33</v>
      </c>
      <c r="E29" s="60" t="n">
        <v>1236113.883465342</v>
      </c>
      <c r="F29" s="49" t="n">
        <v>44870.9339697919</v>
      </c>
      <c r="G29" s="49" t="n">
        <v>15521.458684049</v>
      </c>
      <c r="H29" s="60" t="n">
        <v>0</v>
      </c>
      <c r="I29" s="64" t="n"/>
      <c r="J29" s="49" t="n">
        <v>0</v>
      </c>
      <c r="K29" s="60" t="n">
        <v>0</v>
      </c>
      <c r="L29" s="49" t="n">
        <v>60392.3926538409</v>
      </c>
      <c r="M29" s="49" t="n">
        <v>1236113.883465342</v>
      </c>
      <c r="N29" s="19" t="inlineStr">
        <is>
          <t>Pending</t>
        </is>
      </c>
      <c r="O29" s="61" t="n"/>
      <c r="P29" s="61" t="n"/>
      <c r="Q29" s="61" t="n"/>
      <c r="R29" s="62" t="n"/>
      <c r="S29" s="62" t="n"/>
    </row>
    <row r="30">
      <c r="A30" s="63" t="n">
        <v>28</v>
      </c>
      <c r="B30" s="64" t="n">
        <v>46916</v>
      </c>
      <c r="C30" s="65" t="n">
        <v>46944</v>
      </c>
      <c r="D30" s="66" t="n">
        <v>28</v>
      </c>
      <c r="E30" s="60" t="n">
        <v>1220592.424781293</v>
      </c>
      <c r="F30" s="49" t="n">
        <v>37594.2466832638</v>
      </c>
      <c r="G30" s="49" t="n">
        <v>22477.6228020003</v>
      </c>
      <c r="H30" s="60" t="n">
        <v>0</v>
      </c>
      <c r="I30" s="64" t="n"/>
      <c r="J30" s="49" t="n">
        <v>0</v>
      </c>
      <c r="K30" s="60" t="n">
        <v>0</v>
      </c>
      <c r="L30" s="49" t="n">
        <v>60071.8694852641</v>
      </c>
      <c r="M30" s="49" t="n">
        <v>1220592.424781293</v>
      </c>
      <c r="N30" s="19" t="inlineStr">
        <is>
          <t>Pending</t>
        </is>
      </c>
      <c r="O30" s="61" t="n"/>
      <c r="P30" s="61" t="n"/>
      <c r="Q30" s="61" t="n"/>
      <c r="R30" s="62" t="n"/>
      <c r="S30" s="62" t="n"/>
    </row>
    <row r="31">
      <c r="A31" s="63" t="n">
        <v>29</v>
      </c>
      <c r="B31" s="64" t="n">
        <v>46944</v>
      </c>
      <c r="C31" s="65" t="n">
        <v>46975</v>
      </c>
      <c r="D31" s="66" t="n">
        <v>31</v>
      </c>
      <c r="E31" s="60" t="n">
        <v>1198114.801979293</v>
      </c>
      <c r="F31" s="49" t="n">
        <v>40855.7147474939</v>
      </c>
      <c r="G31" s="49" t="n">
        <v>19408.4686389163</v>
      </c>
      <c r="H31" s="60" t="n">
        <v>0</v>
      </c>
      <c r="I31" s="64" t="n"/>
      <c r="J31" s="49" t="n">
        <v>0</v>
      </c>
      <c r="K31" s="60" t="n">
        <v>0</v>
      </c>
      <c r="L31" s="49" t="n">
        <v>60264.1833864102</v>
      </c>
      <c r="M31" s="49" t="n">
        <v>1198114.801979293</v>
      </c>
      <c r="N31" s="19" t="inlineStr">
        <is>
          <t>Pending</t>
        </is>
      </c>
      <c r="O31" s="61" t="n"/>
      <c r="P31" s="61" t="n"/>
      <c r="Q31" s="61" t="n"/>
      <c r="R31" s="62" t="n"/>
      <c r="S31" s="62" t="n"/>
    </row>
    <row r="32">
      <c r="A32" s="63" t="n">
        <v>30</v>
      </c>
      <c r="B32" s="64" t="n">
        <v>46975</v>
      </c>
      <c r="C32" s="65" t="n">
        <v>47007</v>
      </c>
      <c r="D32" s="66" t="n">
        <v>32</v>
      </c>
      <c r="E32" s="60" t="n">
        <v>1178706.333340376</v>
      </c>
      <c r="F32" s="49" t="n">
        <v>41490.4629335812</v>
      </c>
      <c r="G32" s="49" t="n">
        <v>18837.8250865443</v>
      </c>
      <c r="H32" s="60" t="n">
        <v>0</v>
      </c>
      <c r="I32" s="64" t="n"/>
      <c r="J32" s="49" t="n">
        <v>0</v>
      </c>
      <c r="K32" s="60" t="n">
        <v>0</v>
      </c>
      <c r="L32" s="49" t="n">
        <v>60328.2880201255</v>
      </c>
      <c r="M32" s="49" t="n">
        <v>1178706.333340376</v>
      </c>
      <c r="N32" s="19" t="inlineStr">
        <is>
          <t>Pending</t>
        </is>
      </c>
      <c r="O32" s="61" t="n"/>
      <c r="P32" s="61" t="n"/>
      <c r="Q32" s="61" t="n"/>
      <c r="R32" s="62" t="n"/>
      <c r="S32" s="62" t="n"/>
    </row>
    <row r="33">
      <c r="A33" s="63" t="n">
        <v>31</v>
      </c>
      <c r="B33" s="64" t="n">
        <v>47007</v>
      </c>
      <c r="C33" s="65" t="n">
        <v>47036</v>
      </c>
      <c r="D33" s="66" t="n">
        <v>29</v>
      </c>
      <c r="E33" s="60" t="n">
        <v>1159868.508253832</v>
      </c>
      <c r="F33" s="49" t="n">
        <v>36999.8054132972</v>
      </c>
      <c r="G33" s="49" t="n">
        <v>23136.1687056822</v>
      </c>
      <c r="H33" s="60" t="n">
        <v>0</v>
      </c>
      <c r="I33" s="64" t="n"/>
      <c r="J33" s="49" t="n">
        <v>0</v>
      </c>
      <c r="K33" s="60" t="n">
        <v>0</v>
      </c>
      <c r="L33" s="49" t="n">
        <v>60135.9741189795</v>
      </c>
      <c r="M33" s="49" t="n">
        <v>1159868.508253832</v>
      </c>
      <c r="N33" s="19" t="inlineStr">
        <is>
          <t>Pending</t>
        </is>
      </c>
      <c r="O33" s="61" t="n"/>
      <c r="P33" s="61" t="n"/>
      <c r="Q33" s="61" t="n"/>
      <c r="R33" s="62" t="n"/>
      <c r="S33" s="62" t="n"/>
    </row>
    <row r="34">
      <c r="A34" s="63" t="n">
        <v>32</v>
      </c>
      <c r="B34" s="64" t="n">
        <v>47036</v>
      </c>
      <c r="C34" s="65" t="n">
        <v>47067</v>
      </c>
      <c r="D34" s="66" t="n">
        <v>31</v>
      </c>
      <c r="E34" s="60" t="n">
        <v>1136732.33954815</v>
      </c>
      <c r="F34" s="49" t="n">
        <v>38762.5727785919</v>
      </c>
      <c r="G34" s="49" t="n">
        <v>21501.6106078183</v>
      </c>
      <c r="H34" s="60" t="n">
        <v>0</v>
      </c>
      <c r="I34" s="64" t="n"/>
      <c r="J34" s="49" t="n">
        <v>0</v>
      </c>
      <c r="K34" s="60" t="n">
        <v>0</v>
      </c>
      <c r="L34" s="49" t="n">
        <v>60264.1833864102</v>
      </c>
      <c r="M34" s="49" t="n">
        <v>1136732.33954815</v>
      </c>
      <c r="N34" s="19" t="inlineStr">
        <is>
          <t>Pending</t>
        </is>
      </c>
      <c r="O34" s="61" t="n"/>
      <c r="P34" s="61" t="n"/>
      <c r="Q34" s="61" t="n"/>
      <c r="R34" s="62" t="n"/>
      <c r="S34" s="62" t="n"/>
    </row>
    <row r="35">
      <c r="A35" s="63" t="n">
        <v>33</v>
      </c>
      <c r="B35" s="64" t="n">
        <v>47067</v>
      </c>
      <c r="C35" s="65" t="n">
        <v>47098</v>
      </c>
      <c r="D35" s="66" t="n">
        <v>31</v>
      </c>
      <c r="E35" s="60" t="n">
        <v>1115230.728940332</v>
      </c>
      <c r="F35" s="49" t="n">
        <v>38029.3678568653</v>
      </c>
      <c r="G35" s="49" t="n">
        <v>22234.8155295449</v>
      </c>
      <c r="H35" s="60" t="n">
        <v>0</v>
      </c>
      <c r="I35" s="64" t="n"/>
      <c r="J35" s="49" t="n">
        <v>0</v>
      </c>
      <c r="K35" s="60" t="n">
        <v>0</v>
      </c>
      <c r="L35" s="49" t="n">
        <v>60264.1833864102</v>
      </c>
      <c r="M35" s="49" t="n">
        <v>1115230.728940332</v>
      </c>
      <c r="N35" s="19" t="inlineStr">
        <is>
          <t>Pending</t>
        </is>
      </c>
      <c r="O35" s="61" t="n"/>
      <c r="P35" s="61" t="n"/>
      <c r="Q35" s="61" t="n"/>
      <c r="R35" s="62" t="n"/>
      <c r="S35" s="62" t="n"/>
    </row>
    <row r="36">
      <c r="A36" s="63" t="n">
        <v>34</v>
      </c>
      <c r="B36" s="64" t="n">
        <v>47098</v>
      </c>
      <c r="C36" s="65" t="n">
        <v>47128</v>
      </c>
      <c r="D36" s="66" t="n">
        <v>30</v>
      </c>
      <c r="E36" s="60" t="n">
        <v>1092995.913410787</v>
      </c>
      <c r="F36" s="49" t="n">
        <v>36068.865142556</v>
      </c>
      <c r="G36" s="49" t="n">
        <v>24131.2136101389</v>
      </c>
      <c r="H36" s="60" t="n">
        <v>0</v>
      </c>
      <c r="I36" s="64" t="n"/>
      <c r="J36" s="49" t="n">
        <v>0</v>
      </c>
      <c r="K36" s="60" t="n">
        <v>0</v>
      </c>
      <c r="L36" s="49" t="n">
        <v>60200.0787526948</v>
      </c>
      <c r="M36" s="49" t="n">
        <v>1092995.913410787</v>
      </c>
      <c r="N36" s="19" t="inlineStr">
        <is>
          <t>Pending</t>
        </is>
      </c>
      <c r="O36" s="61" t="n"/>
      <c r="P36" s="61" t="n"/>
      <c r="Q36" s="61" t="n"/>
      <c r="R36" s="62" t="n"/>
      <c r="S36" s="62" t="n"/>
    </row>
    <row r="37">
      <c r="A37" s="63" t="n">
        <v>35</v>
      </c>
      <c r="B37" s="64" t="n">
        <v>47128</v>
      </c>
      <c r="C37" s="65" t="n">
        <v>47161</v>
      </c>
      <c r="D37" s="66" t="n">
        <v>33</v>
      </c>
      <c r="E37" s="60" t="n">
        <v>1068864.699800648</v>
      </c>
      <c r="F37" s="49" t="n">
        <v>38799.7886027635</v>
      </c>
      <c r="G37" s="49" t="n">
        <v>21592.6040510774</v>
      </c>
      <c r="H37" s="60" t="n">
        <v>0</v>
      </c>
      <c r="I37" s="64" t="n"/>
      <c r="J37" s="49" t="n">
        <v>0</v>
      </c>
      <c r="K37" s="60" t="n">
        <v>0</v>
      </c>
      <c r="L37" s="49" t="n">
        <v>60392.3926538409</v>
      </c>
      <c r="M37" s="49" t="n">
        <v>1068864.699800648</v>
      </c>
      <c r="N37" s="19" t="inlineStr">
        <is>
          <t>Pending</t>
        </is>
      </c>
      <c r="O37" s="61" t="n"/>
      <c r="P37" s="61" t="n"/>
      <c r="Q37" s="61" t="n"/>
      <c r="R37" s="62" t="n"/>
      <c r="S37" s="62" t="n"/>
    </row>
    <row r="38">
      <c r="A38" s="63" t="n">
        <v>36</v>
      </c>
      <c r="B38" s="64" t="n">
        <v>47161</v>
      </c>
      <c r="C38" s="65" t="n">
        <v>47189</v>
      </c>
      <c r="D38" s="66" t="n">
        <v>28</v>
      </c>
      <c r="E38" s="60" t="n">
        <v>1047272.09574957</v>
      </c>
      <c r="F38" s="49" t="n">
        <v>32255.9805490868</v>
      </c>
      <c r="G38" s="49" t="n">
        <v>27815.8889361773</v>
      </c>
      <c r="H38" s="60" t="n">
        <v>0</v>
      </c>
      <c r="I38" s="64" t="n"/>
      <c r="J38" s="49" t="n">
        <v>0</v>
      </c>
      <c r="K38" s="60" t="n">
        <v>0</v>
      </c>
      <c r="L38" s="49" t="n">
        <v>60071.8694852641</v>
      </c>
      <c r="M38" s="49" t="n">
        <v>1047272.09574957</v>
      </c>
      <c r="N38" s="19" t="inlineStr">
        <is>
          <t>Pending</t>
        </is>
      </c>
      <c r="O38" s="61" t="n"/>
      <c r="P38" s="61" t="n"/>
      <c r="Q38" s="61" t="n"/>
      <c r="R38" s="62" t="n"/>
      <c r="S38" s="62" t="n"/>
    </row>
    <row r="39">
      <c r="A39" s="63" t="n">
        <v>37</v>
      </c>
      <c r="B39" s="64" t="n">
        <v>47189</v>
      </c>
      <c r="C39" s="65" t="n">
        <v>47218</v>
      </c>
      <c r="D39" s="66" t="n">
        <v>29</v>
      </c>
      <c r="E39" s="60" t="n">
        <v>1019456.206813393</v>
      </c>
      <c r="F39" s="49" t="n">
        <v>32520.6529973472</v>
      </c>
      <c r="G39" s="49" t="n">
        <v>27615.3211216322</v>
      </c>
      <c r="H39" s="60" t="n">
        <v>0</v>
      </c>
      <c r="I39" s="64" t="n"/>
      <c r="J39" s="49" t="n">
        <v>0</v>
      </c>
      <c r="K39" s="60" t="n">
        <v>0</v>
      </c>
      <c r="L39" s="49" t="n">
        <v>60135.9741189795</v>
      </c>
      <c r="M39" s="49" t="n">
        <v>1019456.206813393</v>
      </c>
      <c r="N39" s="19" t="inlineStr">
        <is>
          <t>Pending</t>
        </is>
      </c>
      <c r="O39" s="61" t="n"/>
      <c r="P39" s="61" t="n"/>
      <c r="Q39" s="61" t="n"/>
      <c r="R39" s="62" t="n"/>
      <c r="S39" s="62" t="n"/>
    </row>
    <row r="40">
      <c r="A40" s="63" t="n">
        <v>38</v>
      </c>
      <c r="B40" s="64" t="n">
        <v>47218</v>
      </c>
      <c r="C40" s="65" t="n">
        <v>47248</v>
      </c>
      <c r="D40" s="66" t="n">
        <v>30</v>
      </c>
      <c r="E40" s="60" t="n">
        <v>991840.8856917608</v>
      </c>
      <c r="F40" s="49" t="n">
        <v>32730.7492278281</v>
      </c>
      <c r="G40" s="49" t="n">
        <v>27469.3295248667</v>
      </c>
      <c r="H40" s="60" t="n">
        <v>0</v>
      </c>
      <c r="I40" s="64" t="n"/>
      <c r="J40" s="49" t="n">
        <v>0</v>
      </c>
      <c r="K40" s="60" t="n">
        <v>0</v>
      </c>
      <c r="L40" s="49" t="n">
        <v>60200.0787526948</v>
      </c>
      <c r="M40" s="49" t="n">
        <v>991840.8856917608</v>
      </c>
      <c r="N40" s="19" t="inlineStr">
        <is>
          <t>Pending</t>
        </is>
      </c>
      <c r="O40" s="61" t="n"/>
      <c r="P40" s="61" t="n"/>
      <c r="Q40" s="61" t="n"/>
      <c r="R40" s="62" t="n"/>
      <c r="S40" s="62" t="n"/>
    </row>
    <row r="41">
      <c r="A41" s="63" t="n">
        <v>39</v>
      </c>
      <c r="B41" s="64" t="n">
        <v>47248</v>
      </c>
      <c r="C41" s="65" t="n">
        <v>47280</v>
      </c>
      <c r="D41" s="66" t="n">
        <v>32</v>
      </c>
      <c r="E41" s="60" t="n">
        <v>964371.556166894</v>
      </c>
      <c r="F41" s="49" t="n">
        <v>33945.8787770747</v>
      </c>
      <c r="G41" s="49" t="n">
        <v>26382.4092430509</v>
      </c>
      <c r="H41" s="60" t="n">
        <v>0</v>
      </c>
      <c r="I41" s="64" t="n"/>
      <c r="J41" s="49" t="n">
        <v>0</v>
      </c>
      <c r="K41" s="60" t="n">
        <v>0</v>
      </c>
      <c r="L41" s="49" t="n">
        <v>60328.2880201255</v>
      </c>
      <c r="M41" s="49" t="n">
        <v>964371.556166894</v>
      </c>
      <c r="N41" s="19" t="inlineStr">
        <is>
          <t>Pending</t>
        </is>
      </c>
      <c r="O41" s="61" t="n"/>
      <c r="P41" s="61" t="n"/>
      <c r="Q41" s="61" t="n"/>
      <c r="R41" s="62" t="n"/>
      <c r="S41" s="62" t="n"/>
    </row>
    <row r="42">
      <c r="A42" s="63" t="n">
        <v>40</v>
      </c>
      <c r="B42" s="64" t="n">
        <v>47280</v>
      </c>
      <c r="C42" s="65" t="n">
        <v>47309</v>
      </c>
      <c r="D42" s="66" t="n">
        <v>29</v>
      </c>
      <c r="E42" s="60" t="n">
        <v>937989.1469238432</v>
      </c>
      <c r="F42" s="49" t="n">
        <v>29921.8537868706</v>
      </c>
      <c r="G42" s="49" t="n">
        <v>30214.1203321089</v>
      </c>
      <c r="H42" s="60" t="n">
        <v>0</v>
      </c>
      <c r="I42" s="64" t="n"/>
      <c r="J42" s="49" t="n">
        <v>0</v>
      </c>
      <c r="K42" s="60" t="n">
        <v>0</v>
      </c>
      <c r="L42" s="49" t="n">
        <v>60135.9741189795</v>
      </c>
      <c r="M42" s="49" t="n">
        <v>937989.1469238432</v>
      </c>
      <c r="N42" s="19" t="inlineStr">
        <is>
          <t>Pending</t>
        </is>
      </c>
      <c r="O42" s="61" t="n"/>
      <c r="P42" s="61" t="n"/>
      <c r="Q42" s="61" t="n"/>
      <c r="R42" s="62" t="n"/>
      <c r="S42" s="62" t="n"/>
    </row>
    <row r="43">
      <c r="A43" s="63" t="n">
        <v>41</v>
      </c>
      <c r="B43" s="64" t="n">
        <v>47309</v>
      </c>
      <c r="C43" s="65" t="n">
        <v>47340</v>
      </c>
      <c r="D43" s="66" t="n">
        <v>31</v>
      </c>
      <c r="E43" s="60" t="n">
        <v>907775.0265917343</v>
      </c>
      <c r="F43" s="49" t="n">
        <v>30955.1284067781</v>
      </c>
      <c r="G43" s="49" t="n">
        <v>29309.054979632</v>
      </c>
      <c r="H43" s="60" t="n">
        <v>0</v>
      </c>
      <c r="I43" s="64" t="n"/>
      <c r="J43" s="49" t="n">
        <v>0</v>
      </c>
      <c r="K43" s="60" t="n">
        <v>0</v>
      </c>
      <c r="L43" s="49" t="n">
        <v>60264.1833864102</v>
      </c>
      <c r="M43" s="49" t="n">
        <v>907775.0265917343</v>
      </c>
      <c r="N43" s="19" t="inlineStr">
        <is>
          <t>Pending</t>
        </is>
      </c>
      <c r="O43" s="61" t="n"/>
      <c r="P43" s="61" t="n"/>
      <c r="Q43" s="61" t="n"/>
      <c r="R43" s="62" t="n"/>
      <c r="S43" s="62" t="n"/>
    </row>
    <row r="44">
      <c r="A44" s="63" t="n">
        <v>42</v>
      </c>
      <c r="B44" s="64" t="n">
        <v>47340</v>
      </c>
      <c r="C44" s="65" t="n">
        <v>47371</v>
      </c>
      <c r="D44" s="66" t="n">
        <v>31</v>
      </c>
      <c r="E44" s="60" t="n">
        <v>878465.9716121022</v>
      </c>
      <c r="F44" s="49" t="n">
        <v>29955.6896319727</v>
      </c>
      <c r="G44" s="49" t="n">
        <v>30308.4937544375</v>
      </c>
      <c r="H44" s="60" t="n">
        <v>0</v>
      </c>
      <c r="I44" s="64" t="n"/>
      <c r="J44" s="49" t="n">
        <v>0</v>
      </c>
      <c r="K44" s="60" t="n">
        <v>0</v>
      </c>
      <c r="L44" s="49" t="n">
        <v>60264.1833864102</v>
      </c>
      <c r="M44" s="49" t="n">
        <v>878465.9716121022</v>
      </c>
      <c r="N44" s="19" t="inlineStr">
        <is>
          <t>Pending</t>
        </is>
      </c>
      <c r="O44" s="61" t="n"/>
      <c r="P44" s="61" t="n"/>
      <c r="Q44" s="61" t="n"/>
      <c r="R44" s="62" t="n"/>
      <c r="S44" s="62" t="n"/>
    </row>
    <row r="45">
      <c r="A45" s="63" t="n">
        <v>43</v>
      </c>
      <c r="B45" s="64" t="n">
        <v>47371</v>
      </c>
      <c r="C45" s="65" t="n">
        <v>47401</v>
      </c>
      <c r="D45" s="66" t="n">
        <v>30</v>
      </c>
      <c r="E45" s="60" t="n">
        <v>848157.4778576647</v>
      </c>
      <c r="F45" s="49" t="n">
        <v>27989.1967693029</v>
      </c>
      <c r="G45" s="49" t="n">
        <v>32210.8819833919</v>
      </c>
      <c r="H45" s="60" t="n">
        <v>0</v>
      </c>
      <c r="I45" s="64" t="n"/>
      <c r="J45" s="49" t="n">
        <v>0</v>
      </c>
      <c r="K45" s="60" t="n">
        <v>0</v>
      </c>
      <c r="L45" s="49" t="n">
        <v>60200.0787526948</v>
      </c>
      <c r="M45" s="49" t="n">
        <v>848157.4778576647</v>
      </c>
      <c r="N45" s="19" t="inlineStr">
        <is>
          <t>Pending</t>
        </is>
      </c>
      <c r="O45" s="61" t="n"/>
      <c r="P45" s="61" t="n"/>
      <c r="Q45" s="61" t="n"/>
      <c r="R45" s="62" t="n"/>
      <c r="S45" s="62" t="n"/>
    </row>
    <row r="46">
      <c r="A46" s="63" t="n">
        <v>44</v>
      </c>
      <c r="B46" s="64" t="n">
        <v>47401</v>
      </c>
      <c r="C46" s="65" t="n">
        <v>47434</v>
      </c>
      <c r="D46" s="66" t="n">
        <v>33</v>
      </c>
      <c r="E46" s="60" t="n">
        <v>815946.5958742728</v>
      </c>
      <c r="F46" s="49" t="n">
        <v>29618.8614302361</v>
      </c>
      <c r="G46" s="49" t="n">
        <v>30773.5312236048</v>
      </c>
      <c r="H46" s="60" t="n">
        <v>0</v>
      </c>
      <c r="I46" s="64" t="n"/>
      <c r="J46" s="49" t="n">
        <v>0</v>
      </c>
      <c r="K46" s="60" t="n">
        <v>0</v>
      </c>
      <c r="L46" s="49" t="n">
        <v>60392.3926538409</v>
      </c>
      <c r="M46" s="49" t="n">
        <v>815946.5958742728</v>
      </c>
      <c r="N46" s="19" t="inlineStr">
        <is>
          <t>Pending</t>
        </is>
      </c>
      <c r="O46" s="61" t="n"/>
      <c r="P46" s="61" t="n"/>
      <c r="Q46" s="61" t="n"/>
      <c r="R46" s="62" t="n"/>
      <c r="S46" s="62" t="n"/>
    </row>
    <row r="47">
      <c r="A47" s="63" t="n">
        <v>45</v>
      </c>
      <c r="B47" s="64" t="n">
        <v>47434</v>
      </c>
      <c r="C47" s="65" t="n">
        <v>47462</v>
      </c>
      <c r="D47" s="66" t="n">
        <v>28</v>
      </c>
      <c r="E47" s="60" t="n">
        <v>785173.0646506679</v>
      </c>
      <c r="F47" s="49" t="n">
        <v>24183.3303912406</v>
      </c>
      <c r="G47" s="49" t="n">
        <v>35888.5390940235</v>
      </c>
      <c r="H47" s="60" t="n">
        <v>0</v>
      </c>
      <c r="I47" s="64" t="n"/>
      <c r="J47" s="49" t="n">
        <v>0</v>
      </c>
      <c r="K47" s="60" t="n">
        <v>0</v>
      </c>
      <c r="L47" s="49" t="n">
        <v>60071.8694852641</v>
      </c>
      <c r="M47" s="49" t="n">
        <v>785173.0646506679</v>
      </c>
      <c r="N47" s="19" t="inlineStr">
        <is>
          <t>Pending</t>
        </is>
      </c>
      <c r="O47" s="61" t="n"/>
      <c r="P47" s="61" t="n"/>
      <c r="Q47" s="61" t="n"/>
      <c r="R47" s="62" t="n"/>
      <c r="S47" s="62" t="n"/>
    </row>
    <row r="48">
      <c r="A48" s="63" t="n">
        <v>46</v>
      </c>
      <c r="B48" s="64" t="n">
        <v>47462</v>
      </c>
      <c r="C48" s="65" t="n">
        <v>47493</v>
      </c>
      <c r="D48" s="66" t="n">
        <v>31</v>
      </c>
      <c r="E48" s="60" t="n">
        <v>749284.5255566444</v>
      </c>
      <c r="F48" s="49" t="n">
        <v>25550.6023214816</v>
      </c>
      <c r="G48" s="49" t="n">
        <v>34713.5810649286</v>
      </c>
      <c r="H48" s="60" t="n">
        <v>0</v>
      </c>
      <c r="I48" s="64" t="n"/>
      <c r="J48" s="49" t="n">
        <v>0</v>
      </c>
      <c r="K48" s="60" t="n">
        <v>0</v>
      </c>
      <c r="L48" s="49" t="n">
        <v>60264.1833864102</v>
      </c>
      <c r="M48" s="49" t="n">
        <v>749284.5255566444</v>
      </c>
      <c r="N48" s="19" t="inlineStr">
        <is>
          <t>Pending</t>
        </is>
      </c>
      <c r="O48" s="61" t="n"/>
      <c r="P48" s="61" t="n"/>
      <c r="Q48" s="61" t="n"/>
      <c r="R48" s="62" t="n"/>
      <c r="S48" s="62" t="n"/>
    </row>
    <row r="49">
      <c r="A49" s="63" t="n">
        <v>47</v>
      </c>
      <c r="B49" s="64" t="n">
        <v>47493</v>
      </c>
      <c r="C49" s="65" t="n">
        <v>47525</v>
      </c>
      <c r="D49" s="66" t="n">
        <v>32</v>
      </c>
      <c r="E49" s="60" t="n">
        <v>714570.9444917159</v>
      </c>
      <c r="F49" s="49" t="n">
        <v>25152.8972461084</v>
      </c>
      <c r="G49" s="49" t="n">
        <v>35175.3907740171</v>
      </c>
      <c r="H49" s="60" t="n">
        <v>0</v>
      </c>
      <c r="I49" s="64" t="n"/>
      <c r="J49" s="49" t="n">
        <v>0</v>
      </c>
      <c r="K49" s="60" t="n">
        <v>0</v>
      </c>
      <c r="L49" s="49" t="n">
        <v>60328.2880201255</v>
      </c>
      <c r="M49" s="49" t="n">
        <v>714570.9444917159</v>
      </c>
      <c r="N49" s="19" t="inlineStr">
        <is>
          <t>Pending</t>
        </is>
      </c>
      <c r="O49" s="61" t="n"/>
      <c r="P49" s="61" t="n"/>
      <c r="Q49" s="61" t="n"/>
      <c r="R49" s="62" t="n"/>
      <c r="S49" s="62" t="n"/>
    </row>
    <row r="50">
      <c r="A50" s="63" t="n">
        <v>48</v>
      </c>
      <c r="B50" s="64" t="n">
        <v>47525</v>
      </c>
      <c r="C50" s="65" t="n">
        <v>47553</v>
      </c>
      <c r="D50" s="66" t="n">
        <v>28</v>
      </c>
      <c r="E50" s="60" t="n">
        <v>679395.5537176987</v>
      </c>
      <c r="F50" s="49" t="n">
        <v>20925.3830545051</v>
      </c>
      <c r="G50" s="49" t="n">
        <v>39146.486430759</v>
      </c>
      <c r="H50" s="60" t="n">
        <v>0</v>
      </c>
      <c r="I50" s="64" t="n"/>
      <c r="J50" s="49" t="n">
        <v>0</v>
      </c>
      <c r="K50" s="60" t="n">
        <v>0</v>
      </c>
      <c r="L50" s="49" t="n">
        <v>60071.8694852641</v>
      </c>
      <c r="M50" s="49" t="n">
        <v>679395.5537176987</v>
      </c>
      <c r="N50" s="19" t="inlineStr">
        <is>
          <t>Pending</t>
        </is>
      </c>
      <c r="O50" s="61" t="n"/>
      <c r="P50" s="61" t="n"/>
      <c r="Q50" s="61" t="n"/>
      <c r="R50" s="62" t="n"/>
      <c r="S50" s="62" t="n"/>
    </row>
    <row r="51">
      <c r="A51" s="63" t="n">
        <v>49</v>
      </c>
      <c r="B51" s="64" t="n">
        <v>47553</v>
      </c>
      <c r="C51" s="65" t="n">
        <v>47583</v>
      </c>
      <c r="D51" s="66" t="n">
        <v>30</v>
      </c>
      <c r="E51" s="60" t="n">
        <v>640249.0672869397</v>
      </c>
      <c r="F51" s="49" t="n">
        <v>21128.219220469</v>
      </c>
      <c r="G51" s="49" t="n">
        <v>39071.8595322258</v>
      </c>
      <c r="H51" s="60" t="n">
        <v>0</v>
      </c>
      <c r="I51" s="64" t="n"/>
      <c r="J51" s="49" t="n">
        <v>0</v>
      </c>
      <c r="K51" s="60" t="n">
        <v>0</v>
      </c>
      <c r="L51" s="49" t="n">
        <v>60200.0787526948</v>
      </c>
      <c r="M51" s="49" t="n">
        <v>640249.0672869397</v>
      </c>
      <c r="N51" s="19" t="inlineStr">
        <is>
          <t>Pending</t>
        </is>
      </c>
      <c r="O51" s="61" t="n"/>
      <c r="P51" s="61" t="n"/>
      <c r="Q51" s="61" t="n"/>
      <c r="R51" s="62" t="n"/>
      <c r="S51" s="62" t="n"/>
    </row>
    <row r="52">
      <c r="A52" s="63" t="n">
        <v>50</v>
      </c>
      <c r="B52" s="64" t="n">
        <v>47583</v>
      </c>
      <c r="C52" s="65" t="n">
        <v>47613</v>
      </c>
      <c r="D52" s="66" t="n">
        <v>30</v>
      </c>
      <c r="E52" s="60" t="n">
        <v>601177.2077547139</v>
      </c>
      <c r="F52" s="49" t="n">
        <v>19838.8478559056</v>
      </c>
      <c r="G52" s="49" t="n">
        <v>40361.2308967893</v>
      </c>
      <c r="H52" s="60" t="n">
        <v>0</v>
      </c>
      <c r="I52" s="64" t="n"/>
      <c r="J52" s="49" t="n">
        <v>0</v>
      </c>
      <c r="K52" s="60" t="n">
        <v>0</v>
      </c>
      <c r="L52" s="49" t="n">
        <v>60200.0787526948</v>
      </c>
      <c r="M52" s="49" t="n">
        <v>601177.2077547139</v>
      </c>
      <c r="N52" s="19" t="inlineStr">
        <is>
          <t>Pending</t>
        </is>
      </c>
      <c r="O52" s="61" t="n"/>
      <c r="P52" s="61" t="n"/>
      <c r="Q52" s="61" t="n"/>
      <c r="R52" s="62" t="n"/>
      <c r="S52" s="62" t="n"/>
    </row>
    <row r="53">
      <c r="A53" s="63" t="n">
        <v>51</v>
      </c>
      <c r="B53" s="64" t="n">
        <v>47613</v>
      </c>
      <c r="C53" s="65" t="n">
        <v>47644</v>
      </c>
      <c r="D53" s="66" t="n">
        <v>31</v>
      </c>
      <c r="E53" s="60" t="n">
        <v>560815.9768579247</v>
      </c>
      <c r="F53" s="49" t="n">
        <v>19123.8248108552</v>
      </c>
      <c r="G53" s="49" t="n">
        <v>41140.3585755549</v>
      </c>
      <c r="H53" s="60" t="n">
        <v>0</v>
      </c>
      <c r="I53" s="64" t="n"/>
      <c r="J53" s="49" t="n">
        <v>0</v>
      </c>
      <c r="K53" s="60" t="n">
        <v>0</v>
      </c>
      <c r="L53" s="49" t="n">
        <v>60264.1833864102</v>
      </c>
      <c r="M53" s="49" t="n">
        <v>560815.9768579247</v>
      </c>
      <c r="N53" s="19" t="inlineStr">
        <is>
          <t>Pending</t>
        </is>
      </c>
      <c r="O53" s="61" t="n"/>
      <c r="P53" s="61" t="n"/>
      <c r="Q53" s="61" t="n"/>
      <c r="R53" s="62" t="n"/>
      <c r="S53" s="62" t="n"/>
    </row>
    <row r="54">
      <c r="A54" s="63" t="n">
        <v>52</v>
      </c>
      <c r="B54" s="64" t="n">
        <v>47644</v>
      </c>
      <c r="C54" s="65" t="n">
        <v>47674</v>
      </c>
      <c r="D54" s="66" t="n">
        <v>30</v>
      </c>
      <c r="E54" s="60" t="n">
        <v>519675.6182823698</v>
      </c>
      <c r="F54" s="49" t="n">
        <v>17149.2954033182</v>
      </c>
      <c r="G54" s="49" t="n">
        <v>43050.7833493766</v>
      </c>
      <c r="H54" s="60" t="n">
        <v>0</v>
      </c>
      <c r="I54" s="64" t="n"/>
      <c r="J54" s="49" t="n">
        <v>0</v>
      </c>
      <c r="K54" s="60" t="n">
        <v>0</v>
      </c>
      <c r="L54" s="49" t="n">
        <v>60200.0787526948</v>
      </c>
      <c r="M54" s="49" t="n">
        <v>519675.6182823698</v>
      </c>
      <c r="N54" s="19" t="inlineStr">
        <is>
          <t>Pending</t>
        </is>
      </c>
      <c r="O54" s="61" t="n"/>
      <c r="P54" s="61" t="n"/>
      <c r="Q54" s="61" t="n"/>
      <c r="R54" s="62" t="n"/>
      <c r="S54" s="62" t="n"/>
    </row>
    <row r="55">
      <c r="A55" s="63" t="n">
        <v>53</v>
      </c>
      <c r="B55" s="64" t="n">
        <v>47674</v>
      </c>
      <c r="C55" s="65" t="n">
        <v>47707</v>
      </c>
      <c r="D55" s="66" t="n">
        <v>33</v>
      </c>
      <c r="E55" s="60" t="n">
        <v>476624.8349329932</v>
      </c>
      <c r="F55" s="49" t="n">
        <v>17301.4815080677</v>
      </c>
      <c r="G55" s="49" t="n">
        <v>43090.9111457732</v>
      </c>
      <c r="H55" s="60" t="n">
        <v>0</v>
      </c>
      <c r="I55" s="64" t="n"/>
      <c r="J55" s="49" t="n">
        <v>0</v>
      </c>
      <c r="K55" s="60" t="n">
        <v>0</v>
      </c>
      <c r="L55" s="49" t="n">
        <v>60392.3926538409</v>
      </c>
      <c r="M55" s="49" t="n">
        <v>476624.8349329932</v>
      </c>
      <c r="N55" s="19" t="inlineStr">
        <is>
          <t>Pending</t>
        </is>
      </c>
      <c r="O55" s="61" t="n"/>
      <c r="P55" s="61" t="n"/>
      <c r="Q55" s="61" t="n"/>
      <c r="R55" s="62" t="n"/>
      <c r="S55" s="62" t="n"/>
    </row>
    <row r="56">
      <c r="A56" s="63" t="n">
        <v>54</v>
      </c>
      <c r="B56" s="64" t="n">
        <v>47707</v>
      </c>
      <c r="C56" s="65" t="n">
        <v>47736</v>
      </c>
      <c r="D56" s="66" t="n">
        <v>29</v>
      </c>
      <c r="E56" s="60" t="n">
        <v>433533.9237872199</v>
      </c>
      <c r="F56" s="49" t="n">
        <v>13829.7321688123</v>
      </c>
      <c r="G56" s="49" t="n">
        <v>46306.2419501672</v>
      </c>
      <c r="H56" s="60" t="n">
        <v>0</v>
      </c>
      <c r="I56" s="64" t="n"/>
      <c r="J56" s="49" t="n">
        <v>0</v>
      </c>
      <c r="K56" s="60" t="n">
        <v>0</v>
      </c>
      <c r="L56" s="49" t="n">
        <v>60135.9741189795</v>
      </c>
      <c r="M56" s="49" t="n">
        <v>433533.9237872199</v>
      </c>
      <c r="N56" s="19" t="inlineStr">
        <is>
          <t>Pending</t>
        </is>
      </c>
      <c r="O56" s="61" t="n"/>
      <c r="P56" s="61" t="n"/>
      <c r="Q56" s="61" t="n"/>
      <c r="R56" s="62" t="n"/>
      <c r="S56" s="62" t="n"/>
    </row>
    <row r="57">
      <c r="A57" s="63" t="n">
        <v>55</v>
      </c>
      <c r="B57" s="64" t="n">
        <v>47736</v>
      </c>
      <c r="C57" s="65" t="n">
        <v>47766</v>
      </c>
      <c r="D57" s="66" t="n">
        <v>30</v>
      </c>
      <c r="E57" s="60" t="n">
        <v>387227.6818370527</v>
      </c>
      <c r="F57" s="49" t="n">
        <v>12778.5135006227</v>
      </c>
      <c r="G57" s="49" t="n">
        <v>47421.5652520721</v>
      </c>
      <c r="H57" s="60" t="n">
        <v>0</v>
      </c>
      <c r="I57" s="64" t="n"/>
      <c r="J57" s="49" t="n">
        <v>0</v>
      </c>
      <c r="K57" s="60" t="n">
        <v>0</v>
      </c>
      <c r="L57" s="49" t="n">
        <v>60200.0787526948</v>
      </c>
      <c r="M57" s="49" t="n">
        <v>387227.6818370527</v>
      </c>
      <c r="N57" s="19" t="inlineStr">
        <is>
          <t>Pending</t>
        </is>
      </c>
      <c r="O57" s="61" t="n"/>
      <c r="P57" s="61" t="n"/>
      <c r="Q57" s="61" t="n"/>
      <c r="R57" s="62" t="n"/>
      <c r="S57" s="62" t="n"/>
    </row>
    <row r="58">
      <c r="A58" s="63" t="n">
        <v>56</v>
      </c>
      <c r="B58" s="64" t="n">
        <v>47766</v>
      </c>
      <c r="C58" s="65" t="n">
        <v>47798</v>
      </c>
      <c r="D58" s="66" t="n">
        <v>32</v>
      </c>
      <c r="E58" s="60" t="n">
        <v>339806.1165849807</v>
      </c>
      <c r="F58" s="49" t="n">
        <v>11961.1753037913</v>
      </c>
      <c r="G58" s="49" t="n">
        <v>48367.1127163342</v>
      </c>
      <c r="H58" s="60" t="n">
        <v>0</v>
      </c>
      <c r="I58" s="64" t="n"/>
      <c r="J58" s="49" t="n">
        <v>0</v>
      </c>
      <c r="K58" s="60" t="n">
        <v>0</v>
      </c>
      <c r="L58" s="49" t="n">
        <v>60328.2880201255</v>
      </c>
      <c r="M58" s="49" t="n">
        <v>339806.1165849807</v>
      </c>
      <c r="N58" s="19" t="inlineStr">
        <is>
          <t>Pending</t>
        </is>
      </c>
      <c r="O58" s="61" t="n"/>
      <c r="P58" s="61" t="n"/>
      <c r="Q58" s="61" t="n"/>
      <c r="R58" s="62" t="n"/>
      <c r="S58" s="62" t="n"/>
    </row>
    <row r="59">
      <c r="A59" s="63" t="n">
        <v>57</v>
      </c>
      <c r="B59" s="64" t="n">
        <v>47798</v>
      </c>
      <c r="C59" s="65" t="n">
        <v>47827</v>
      </c>
      <c r="D59" s="66" t="n">
        <v>29</v>
      </c>
      <c r="E59" s="60" t="n">
        <v>291439.0038686465</v>
      </c>
      <c r="F59" s="49" t="n">
        <v>9296.9042234098</v>
      </c>
      <c r="G59" s="49" t="n">
        <v>50839.0698955696</v>
      </c>
      <c r="H59" s="60" t="n">
        <v>0</v>
      </c>
      <c r="I59" s="64" t="n"/>
      <c r="J59" s="49" t="n">
        <v>0</v>
      </c>
      <c r="K59" s="60" t="n">
        <v>0</v>
      </c>
      <c r="L59" s="49" t="n">
        <v>60135.9741189795</v>
      </c>
      <c r="M59" s="49" t="n">
        <v>291439.0038686465</v>
      </c>
      <c r="N59" s="19" t="inlineStr">
        <is>
          <t>Pending</t>
        </is>
      </c>
      <c r="O59" s="61" t="n"/>
      <c r="P59" s="61" t="n"/>
      <c r="Q59" s="61" t="n"/>
      <c r="R59" s="62" t="n"/>
      <c r="S59" s="62" t="n"/>
    </row>
    <row r="60">
      <c r="A60" s="63" t="n">
        <v>58</v>
      </c>
      <c r="B60" s="64" t="n">
        <v>47827</v>
      </c>
      <c r="C60" s="65" t="n">
        <v>47858</v>
      </c>
      <c r="D60" s="66" t="n">
        <v>31</v>
      </c>
      <c r="E60" s="60" t="n">
        <v>240599.9339730768</v>
      </c>
      <c r="F60" s="49" t="n">
        <v>8204.4577484819</v>
      </c>
      <c r="G60" s="49" t="n">
        <v>52059.7256379283</v>
      </c>
      <c r="H60" s="60" t="n">
        <v>0</v>
      </c>
      <c r="I60" s="64" t="n"/>
      <c r="J60" s="49" t="n">
        <v>0</v>
      </c>
      <c r="K60" s="60" t="n">
        <v>0</v>
      </c>
      <c r="L60" s="49" t="n">
        <v>60264.1833864102</v>
      </c>
      <c r="M60" s="49" t="n">
        <v>240599.9339730768</v>
      </c>
      <c r="N60" s="19" t="inlineStr">
        <is>
          <t>Pending</t>
        </is>
      </c>
      <c r="O60" s="61" t="n"/>
      <c r="P60" s="61" t="n"/>
      <c r="Q60" s="61" t="n"/>
      <c r="R60" s="62" t="n"/>
      <c r="S60" s="62" t="n"/>
    </row>
    <row r="61">
      <c r="A61" s="63" t="n">
        <v>59</v>
      </c>
      <c r="B61" s="64" t="n">
        <v>47858</v>
      </c>
      <c r="C61" s="65" t="n">
        <v>47889</v>
      </c>
      <c r="D61" s="66" t="n">
        <v>31</v>
      </c>
      <c r="E61" s="60" t="n">
        <v>188540.2083351485</v>
      </c>
      <c r="F61" s="49" t="n">
        <v>6429.2211042286</v>
      </c>
      <c r="G61" s="49" t="n">
        <v>53834.9622821816</v>
      </c>
      <c r="H61" s="60" t="n">
        <v>0</v>
      </c>
      <c r="I61" s="64" t="n"/>
      <c r="J61" s="49" t="n">
        <v>0</v>
      </c>
      <c r="K61" s="60" t="n">
        <v>0</v>
      </c>
      <c r="L61" s="49" t="n">
        <v>60264.1833864102</v>
      </c>
      <c r="M61" s="49" t="n">
        <v>188540.2083351485</v>
      </c>
      <c r="N61" s="19" t="inlineStr">
        <is>
          <t>Pending</t>
        </is>
      </c>
      <c r="O61" s="61" t="n"/>
      <c r="P61" s="61" t="n"/>
      <c r="Q61" s="61" t="n"/>
      <c r="R61" s="62" t="n"/>
      <c r="S61" s="62" t="n"/>
    </row>
    <row r="62">
      <c r="A62" s="63" t="n">
        <v>60</v>
      </c>
      <c r="B62" s="64" t="n">
        <v>47889</v>
      </c>
      <c r="C62" s="65" t="n">
        <v>47917</v>
      </c>
      <c r="D62" s="66" t="n">
        <v>28</v>
      </c>
      <c r="E62" s="60" t="n">
        <v>134705.2460529669</v>
      </c>
      <c r="F62" s="49" t="n">
        <v>4148.9215784314</v>
      </c>
      <c r="G62" s="49" t="n">
        <v>76428.30631173329</v>
      </c>
      <c r="H62" s="60" t="n">
        <v>0</v>
      </c>
      <c r="I62" s="64" t="n"/>
      <c r="J62" s="49" t="n">
        <v>0</v>
      </c>
      <c r="K62" s="60" t="n">
        <v>0</v>
      </c>
      <c r="L62" s="49" t="n">
        <v>80577.22789016469</v>
      </c>
      <c r="M62" s="49" t="n">
        <v>134705.2460529669</v>
      </c>
      <c r="N62" s="19" t="inlineStr">
        <is>
          <t>Pending</t>
        </is>
      </c>
      <c r="O62" s="61" t="n"/>
      <c r="P62" s="61" t="n"/>
      <c r="Q62" s="61" t="n"/>
      <c r="R62" s="62" t="n"/>
      <c r="S62" s="62" t="n"/>
    </row>
    <row r="63">
      <c r="A63" s="61" t="n"/>
      <c r="B63" s="61" t="n"/>
      <c r="C63" s="61" t="n"/>
      <c r="D63" s="61" t="n"/>
      <c r="E63" s="61" t="n"/>
      <c r="F63" s="61" t="n"/>
      <c r="G63" s="61" t="n"/>
      <c r="H63" s="61" t="n"/>
      <c r="I63" s="61" t="n"/>
      <c r="J63" s="61" t="n"/>
      <c r="K63" s="61" t="n"/>
      <c r="L63" s="61" t="n"/>
      <c r="M63" s="61" t="n"/>
      <c r="N63" s="61" t="n"/>
      <c r="O63" s="61" t="n"/>
      <c r="P63" s="61" t="n"/>
      <c r="Q63" s="61" t="n"/>
      <c r="R63" s="62" t="n"/>
      <c r="S63" s="62" t="n"/>
    </row>
    <row r="64">
      <c r="A64" s="61" t="n"/>
      <c r="B64" s="61" t="n"/>
      <c r="C64" s="61" t="n"/>
      <c r="D64" s="61" t="n"/>
      <c r="E64" s="61" t="n"/>
      <c r="F64" s="61" t="n"/>
      <c r="G64" s="61" t="n"/>
      <c r="H64" s="61" t="n"/>
      <c r="I64" s="61" t="n"/>
      <c r="J64" s="61" t="n"/>
      <c r="K64" s="61" t="n"/>
      <c r="L64" s="61" t="n"/>
      <c r="M64" s="61" t="n"/>
      <c r="N64" s="61" t="n"/>
      <c r="O64" s="61" t="n"/>
      <c r="P64" s="61" t="n"/>
      <c r="Q64" s="61" t="n"/>
      <c r="R64" s="62" t="n"/>
      <c r="S64" s="62" t="n"/>
    </row>
    <row r="65">
      <c r="A65" s="61" t="n"/>
      <c r="B65" s="61" t="n"/>
      <c r="C65" s="61" t="n"/>
      <c r="D65" s="61" t="n"/>
      <c r="E65" s="61" t="n"/>
      <c r="F65" s="61" t="n"/>
      <c r="G65" s="61" t="n"/>
      <c r="H65" s="61" t="n"/>
      <c r="I65" s="61" t="n"/>
      <c r="J65" s="61" t="n"/>
      <c r="K65" s="61" t="n"/>
      <c r="L65" s="61" t="n"/>
      <c r="M65" s="61" t="n"/>
      <c r="N65" s="61" t="n"/>
      <c r="O65" s="61" t="n"/>
      <c r="P65" s="61" t="n"/>
      <c r="Q65" s="61" t="n"/>
      <c r="R65" s="62" t="n"/>
      <c r="S65" s="62" t="n"/>
    </row>
  </sheetData>
  <mergeCells count="1">
    <mergeCell ref="A1:Q1"/>
  </mergeCells>
  <conditionalFormatting sqref="A3:P62">
    <cfRule type="expression" priority="1" dxfId="0">
      <formula>$P3="Overdue"</formula>
    </cfRule>
    <cfRule type="expression" priority="2" dxfId="1">
      <formula>$P3="Partial"</formula>
    </cfRule>
    <cfRule type="expression" priority="3" dxfId="2">
      <formula>$P3="Paid"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55A11"/>
    <outlinePr summaryBelow="1" summaryRight="1"/>
    <pageSetUpPr/>
  </sheetPr>
  <dimension ref="A1:F5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4" customWidth="1" min="4" max="4"/>
    <col width="30" customWidth="1" min="5" max="5"/>
    <col width="18" customWidth="1" min="6" max="6"/>
  </cols>
  <sheetData>
    <row r="1" ht="26" customHeight="1">
      <c r="A1" s="17" t="inlineStr">
        <is>
          <t>PAYMENT ENTRY TABLE</t>
        </is>
      </c>
    </row>
    <row r="2">
      <c r="A2" s="4" t="inlineStr">
        <is>
          <t>Payment Date</t>
        </is>
      </c>
      <c r="B2" s="4" t="inlineStr">
        <is>
          <t>Installment #</t>
        </is>
      </c>
      <c r="C2" s="4" t="inlineStr">
        <is>
          <t>Amount</t>
        </is>
      </c>
      <c r="D2" s="4" t="inlineStr">
        <is>
          <t>Notes</t>
        </is>
      </c>
      <c r="E2" s="4" t="inlineStr">
        <is>
          <t>Allocation Check</t>
        </is>
      </c>
      <c r="F2" s="4" t="n"/>
    </row>
    <row r="3">
      <c r="A3" s="56" t="n">
        <v>45703</v>
      </c>
      <c r="B3" s="12" t="n">
        <v>1</v>
      </c>
      <c r="C3" s="57">
        <f>EMI</f>
        <v/>
      </c>
      <c r="D3" s="12" t="inlineStr">
        <is>
          <t>On-time month 1</t>
        </is>
      </c>
      <c r="E3" s="12">
        <f>IFERROR("Pen: "&amp;TEXT(VLOOKUP(B3,Schedule!$A:$P,11,0),"#,##0.000")&amp;" | Int: "&amp;TEXT(VLOOKUP(B3,Schedule!$A:$P,12,0),"#,##0.000")&amp;" | Prin: "&amp;TEXT(VLOOKUP(B3,Schedule!$A:$P,13,0),"#,##0.000"),"")</f>
        <v/>
      </c>
      <c r="F3" s="27" t="n"/>
    </row>
    <row r="4">
      <c r="A4" s="56" t="n">
        <v>45736</v>
      </c>
      <c r="B4" s="12" t="n">
        <v>2</v>
      </c>
      <c r="C4" s="57">
        <f>EMI/2</f>
        <v/>
      </c>
      <c r="D4" s="12" t="inlineStr">
        <is>
          <t>Partial — 50% — 5 days late</t>
        </is>
      </c>
      <c r="E4" s="12">
        <f>IFERROR("Pen: "&amp;TEXT(VLOOKUP(B4,Schedule!$A:$P,11,0),"#,##0.000")&amp;" | Int: "&amp;TEXT(VLOOKUP(B4,Schedule!$A:$P,12,0),"#,##0.000")&amp;" | Prin: "&amp;TEXT(VLOOKUP(B4,Schedule!$A:$P,13,0),"#,##0.000"),"")</f>
        <v/>
      </c>
      <c r="F4" s="27" t="n"/>
    </row>
    <row r="5">
      <c r="A5" s="56" t="n">
        <v>45762</v>
      </c>
      <c r="B5" s="12" t="n">
        <v>3</v>
      </c>
      <c r="C5" s="57">
        <f>EMI*2</f>
        <v/>
      </c>
      <c r="D5" s="12" t="inlineStr">
        <is>
          <t>Double payment — extra principal</t>
        </is>
      </c>
      <c r="E5" s="12">
        <f>IFERROR("Pen: "&amp;TEXT(VLOOKUP(B5,Schedule!$A:$P,11,0),"#,##0.000")&amp;" | Int: "&amp;TEXT(VLOOKUP(B5,Schedule!$A:$P,12,0),"#,##0.000")&amp;" | Prin: "&amp;TEXT(VLOOKUP(B5,Schedule!$A:$P,13,0),"#,##0.000"),"")</f>
        <v/>
      </c>
      <c r="F5" s="27" t="n"/>
    </row>
    <row r="6">
      <c r="A6" s="58" t="n"/>
      <c r="B6" s="29" t="n"/>
      <c r="C6" s="59" t="n"/>
      <c r="D6" s="29" t="n"/>
      <c r="E6" s="29" t="n"/>
      <c r="F6" s="27" t="n"/>
    </row>
    <row r="7">
      <c r="A7" s="58" t="n"/>
      <c r="B7" s="29" t="n"/>
      <c r="C7" s="59" t="n"/>
      <c r="D7" s="29" t="n"/>
      <c r="E7" s="29" t="n"/>
      <c r="F7" s="27" t="n"/>
    </row>
    <row r="8">
      <c r="A8" s="58" t="n"/>
      <c r="B8" s="29" t="n"/>
      <c r="C8" s="59" t="n"/>
      <c r="D8" s="29" t="n"/>
      <c r="E8" s="29" t="n"/>
      <c r="F8" s="27" t="n"/>
    </row>
    <row r="9">
      <c r="A9" s="58" t="n"/>
      <c r="B9" s="29" t="n"/>
      <c r="C9" s="59" t="n"/>
      <c r="D9" s="29" t="n"/>
      <c r="E9" s="29" t="n"/>
      <c r="F9" s="27" t="n"/>
    </row>
    <row r="10">
      <c r="A10" s="58" t="n"/>
      <c r="B10" s="29" t="n"/>
      <c r="C10" s="59" t="n"/>
      <c r="D10" s="29" t="n"/>
      <c r="E10" s="29" t="n"/>
      <c r="F10" s="27" t="n"/>
    </row>
    <row r="11">
      <c r="A11" s="58" t="n"/>
      <c r="B11" s="29" t="n"/>
      <c r="C11" s="59" t="n"/>
      <c r="D11" s="29" t="n"/>
      <c r="E11" s="29" t="n"/>
      <c r="F11" s="27" t="n"/>
    </row>
    <row r="12">
      <c r="A12" s="58" t="n"/>
      <c r="B12" s="29" t="n"/>
      <c r="C12" s="59" t="n"/>
      <c r="D12" s="29" t="n"/>
      <c r="E12" s="29" t="n"/>
      <c r="F12" s="27" t="n"/>
    </row>
    <row r="13">
      <c r="A13" s="58" t="n"/>
      <c r="B13" s="29" t="n"/>
      <c r="C13" s="59" t="n"/>
      <c r="D13" s="29" t="n"/>
      <c r="E13" s="29" t="n"/>
      <c r="F13" s="27" t="n"/>
    </row>
    <row r="14">
      <c r="A14" s="58" t="n"/>
      <c r="B14" s="29" t="n"/>
      <c r="C14" s="59" t="n"/>
      <c r="D14" s="29" t="n"/>
      <c r="E14" s="29" t="n"/>
      <c r="F14" s="27" t="n"/>
    </row>
    <row r="15">
      <c r="A15" s="58" t="n"/>
      <c r="B15" s="29" t="n"/>
      <c r="C15" s="59" t="n"/>
      <c r="D15" s="29" t="n"/>
      <c r="E15" s="29" t="n"/>
      <c r="F15" s="27" t="n"/>
    </row>
    <row r="16">
      <c r="A16" s="58" t="n"/>
      <c r="B16" s="29" t="n"/>
      <c r="C16" s="59" t="n"/>
      <c r="D16" s="29" t="n"/>
      <c r="E16" s="29" t="n"/>
      <c r="F16" s="27" t="n"/>
    </row>
    <row r="17">
      <c r="A17" s="58" t="n"/>
      <c r="B17" s="29" t="n"/>
      <c r="C17" s="59" t="n"/>
      <c r="D17" s="29" t="n"/>
      <c r="E17" s="29" t="n"/>
      <c r="F17" s="27" t="n"/>
    </row>
    <row r="18">
      <c r="A18" s="58" t="n"/>
      <c r="B18" s="29" t="n"/>
      <c r="C18" s="59" t="n"/>
      <c r="D18" s="29" t="n"/>
      <c r="E18" s="29" t="n"/>
      <c r="F18" s="27" t="n"/>
    </row>
    <row r="19">
      <c r="A19" s="58" t="n"/>
      <c r="B19" s="29" t="n"/>
      <c r="C19" s="59" t="n"/>
      <c r="D19" s="29" t="n"/>
      <c r="E19" s="29" t="n"/>
      <c r="F19" s="27" t="n"/>
    </row>
    <row r="20">
      <c r="A20" s="58" t="n"/>
      <c r="B20" s="29" t="n"/>
      <c r="C20" s="59" t="n"/>
      <c r="D20" s="29" t="n"/>
      <c r="E20" s="29" t="n"/>
      <c r="F20" s="27" t="n"/>
    </row>
    <row r="21">
      <c r="A21" s="58" t="n"/>
      <c r="B21" s="29" t="n"/>
      <c r="C21" s="59" t="n"/>
      <c r="D21" s="29" t="n"/>
      <c r="E21" s="29" t="n"/>
      <c r="F21" s="27" t="n"/>
    </row>
    <row r="22">
      <c r="A22" s="58" t="n"/>
      <c r="B22" s="29" t="n"/>
      <c r="C22" s="59" t="n"/>
      <c r="D22" s="29" t="n"/>
      <c r="E22" s="29" t="n"/>
      <c r="F22" s="27" t="n"/>
    </row>
    <row r="23">
      <c r="A23" s="58" t="n"/>
      <c r="B23" s="29" t="n"/>
      <c r="C23" s="59" t="n"/>
      <c r="D23" s="29" t="n"/>
      <c r="E23" s="29" t="n"/>
      <c r="F23" s="27" t="n"/>
    </row>
    <row r="24">
      <c r="A24" s="58" t="n"/>
      <c r="B24" s="29" t="n"/>
      <c r="C24" s="59" t="n"/>
      <c r="D24" s="29" t="n"/>
      <c r="E24" s="29" t="n"/>
      <c r="F24" s="27" t="n"/>
    </row>
    <row r="25">
      <c r="A25" s="58" t="n"/>
      <c r="B25" s="29" t="n"/>
      <c r="C25" s="59" t="n"/>
      <c r="D25" s="29" t="n"/>
      <c r="E25" s="29" t="n"/>
      <c r="F25" s="27" t="n"/>
    </row>
    <row r="26">
      <c r="A26" s="58" t="n"/>
      <c r="B26" s="29" t="n"/>
      <c r="C26" s="59" t="n"/>
      <c r="D26" s="29" t="n"/>
      <c r="E26" s="29" t="n"/>
      <c r="F26" s="27" t="n"/>
    </row>
    <row r="27">
      <c r="A27" s="58" t="n"/>
      <c r="B27" s="29" t="n"/>
      <c r="C27" s="59" t="n"/>
      <c r="D27" s="29" t="n"/>
      <c r="E27" s="29" t="n"/>
      <c r="F27" s="27" t="n"/>
    </row>
    <row r="28">
      <c r="A28" s="58" t="n"/>
      <c r="B28" s="29" t="n"/>
      <c r="C28" s="59" t="n"/>
      <c r="D28" s="29" t="n"/>
      <c r="E28" s="29" t="n"/>
      <c r="F28" s="27" t="n"/>
    </row>
    <row r="29">
      <c r="A29" s="58" t="n"/>
      <c r="B29" s="29" t="n"/>
      <c r="C29" s="59" t="n"/>
      <c r="D29" s="29" t="n"/>
      <c r="E29" s="29" t="n"/>
      <c r="F29" s="27" t="n"/>
    </row>
    <row r="30">
      <c r="A30" s="58" t="n"/>
      <c r="B30" s="29" t="n"/>
      <c r="C30" s="59" t="n"/>
      <c r="D30" s="29" t="n"/>
      <c r="E30" s="29" t="n"/>
      <c r="F30" s="27" t="n"/>
    </row>
    <row r="31">
      <c r="A31" s="58" t="n"/>
      <c r="B31" s="29" t="n"/>
      <c r="C31" s="59" t="n"/>
      <c r="D31" s="29" t="n"/>
      <c r="E31" s="29" t="n"/>
      <c r="F31" s="27" t="n"/>
    </row>
    <row r="32">
      <c r="A32" s="58" t="n"/>
      <c r="B32" s="29" t="n"/>
      <c r="C32" s="59" t="n"/>
      <c r="D32" s="29" t="n"/>
      <c r="E32" s="29" t="n"/>
      <c r="F32" s="27" t="n"/>
    </row>
    <row r="33">
      <c r="A33" s="58" t="n"/>
      <c r="B33" s="29" t="n"/>
      <c r="C33" s="59" t="n"/>
      <c r="D33" s="29" t="n"/>
      <c r="E33" s="29" t="n"/>
      <c r="F33" s="27" t="n"/>
    </row>
    <row r="34">
      <c r="A34" s="58" t="n"/>
      <c r="B34" s="29" t="n"/>
      <c r="C34" s="59" t="n"/>
      <c r="D34" s="29" t="n"/>
      <c r="E34" s="29" t="n"/>
      <c r="F34" s="27" t="n"/>
    </row>
    <row r="35">
      <c r="A35" s="58" t="n"/>
      <c r="B35" s="29" t="n"/>
      <c r="C35" s="59" t="n"/>
      <c r="D35" s="29" t="n"/>
      <c r="E35" s="29" t="n"/>
      <c r="F35" s="27" t="n"/>
    </row>
    <row r="36">
      <c r="A36" s="58" t="n"/>
      <c r="B36" s="29" t="n"/>
      <c r="C36" s="59" t="n"/>
      <c r="D36" s="29" t="n"/>
      <c r="E36" s="29" t="n"/>
      <c r="F36" s="27" t="n"/>
    </row>
    <row r="37">
      <c r="A37" s="58" t="n"/>
      <c r="B37" s="29" t="n"/>
      <c r="C37" s="59" t="n"/>
      <c r="D37" s="29" t="n"/>
      <c r="E37" s="29" t="n"/>
      <c r="F37" s="27" t="n"/>
    </row>
    <row r="38">
      <c r="A38" s="58" t="n"/>
      <c r="B38" s="29" t="n"/>
      <c r="C38" s="59" t="n"/>
      <c r="D38" s="29" t="n"/>
      <c r="E38" s="29" t="n"/>
      <c r="F38" s="27" t="n"/>
    </row>
    <row r="39">
      <c r="A39" s="58" t="n"/>
      <c r="B39" s="29" t="n"/>
      <c r="C39" s="59" t="n"/>
      <c r="D39" s="29" t="n"/>
      <c r="E39" s="29" t="n"/>
      <c r="F39" s="27" t="n"/>
    </row>
    <row r="40">
      <c r="A40" s="58" t="n"/>
      <c r="B40" s="29" t="n"/>
      <c r="C40" s="59" t="n"/>
      <c r="D40" s="29" t="n"/>
      <c r="E40" s="29" t="n"/>
      <c r="F40" s="27" t="n"/>
    </row>
    <row r="41">
      <c r="A41" s="58" t="n"/>
      <c r="B41" s="29" t="n"/>
      <c r="C41" s="59" t="n"/>
      <c r="D41" s="29" t="n"/>
      <c r="E41" s="29" t="n"/>
      <c r="F41" s="27" t="n"/>
    </row>
    <row r="42">
      <c r="A42" s="58" t="n"/>
      <c r="B42" s="29" t="n"/>
      <c r="C42" s="59" t="n"/>
      <c r="D42" s="29" t="n"/>
      <c r="E42" s="29" t="n"/>
      <c r="F42" s="27" t="n"/>
    </row>
    <row r="43">
      <c r="A43" s="58" t="n"/>
      <c r="B43" s="29" t="n"/>
      <c r="C43" s="59" t="n"/>
      <c r="D43" s="29" t="n"/>
      <c r="E43" s="29" t="n"/>
      <c r="F43" s="27" t="n"/>
    </row>
    <row r="44">
      <c r="A44" s="58" t="n"/>
      <c r="B44" s="29" t="n"/>
      <c r="C44" s="59" t="n"/>
      <c r="D44" s="29" t="n"/>
      <c r="E44" s="29" t="n"/>
      <c r="F44" s="27" t="n"/>
    </row>
    <row r="45">
      <c r="A45" s="58" t="n"/>
      <c r="B45" s="29" t="n"/>
      <c r="C45" s="59" t="n"/>
      <c r="D45" s="29" t="n"/>
      <c r="E45" s="29" t="n"/>
      <c r="F45" s="27" t="n"/>
    </row>
    <row r="46">
      <c r="A46" s="58" t="n"/>
      <c r="B46" s="29" t="n"/>
      <c r="C46" s="59" t="n"/>
      <c r="D46" s="29" t="n"/>
      <c r="E46" s="29" t="n"/>
      <c r="F46" s="27" t="n"/>
    </row>
    <row r="47">
      <c r="A47" s="58" t="n"/>
      <c r="B47" s="29" t="n"/>
      <c r="C47" s="59" t="n"/>
      <c r="D47" s="29" t="n"/>
      <c r="E47" s="29" t="n"/>
      <c r="F47" s="27" t="n"/>
    </row>
    <row r="48">
      <c r="A48" s="58" t="n"/>
      <c r="B48" s="29" t="n"/>
      <c r="C48" s="59" t="n"/>
      <c r="D48" s="29" t="n"/>
      <c r="E48" s="29" t="n"/>
      <c r="F48" s="27" t="n"/>
    </row>
    <row r="49">
      <c r="A49" s="58" t="n"/>
      <c r="B49" s="29" t="n"/>
      <c r="C49" s="59" t="n"/>
      <c r="D49" s="29" t="n"/>
      <c r="E49" s="29" t="n"/>
      <c r="F49" s="27" t="n"/>
    </row>
    <row r="50">
      <c r="A50" s="58" t="n"/>
      <c r="B50" s="29" t="n"/>
      <c r="C50" s="59" t="n"/>
      <c r="D50" s="29" t="n"/>
      <c r="E50" s="29" t="n"/>
      <c r="F50" s="27" t="n"/>
    </row>
  </sheetData>
  <mergeCells count="1">
    <mergeCell ref="A1:F1"/>
  </mergeCells>
  <dataValidations count="2">
    <dataValidation sqref="D3:D200" showDropDown="0" showInputMessage="0" showErrorMessage="0" allowBlank="0" type="list">
      <formula1>"regular,extra,penalty"</formula1>
    </dataValidation>
    <dataValidation sqref="B3:B200" showDropDown="0" showInputMessage="0" showErrorMessage="0" allowBlank="0" type="whole" operator="between">
      <formula1>1</formula1>
      <formula2>=Tenure</formula2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030A0"/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22" customWidth="1" min="3" max="3"/>
    <col width="18" customWidth="1" min="4" max="4"/>
  </cols>
  <sheetData>
    <row r="1" ht="26" customHeight="1">
      <c r="A1" s="31" t="inlineStr">
        <is>
          <t>RECONCILIATION DASHBOARD</t>
        </is>
      </c>
    </row>
    <row r="3">
      <c r="A3" s="5" t="inlineStr">
        <is>
          <t>PRINCIPAL RECONCILIATION</t>
        </is>
      </c>
      <c r="B3" s="43" t="n"/>
      <c r="C3" s="43" t="n"/>
      <c r="D3" s="44" t="n"/>
    </row>
    <row r="4">
      <c r="A4" s="4" t="inlineStr">
        <is>
          <t>Metric</t>
        </is>
      </c>
      <c r="B4" s="4" t="inlineStr">
        <is>
          <t>Expected / Target</t>
        </is>
      </c>
      <c r="C4" s="4">
        <f>SUM(Schedule!$G$3:$G$62)</f>
        <v/>
      </c>
      <c r="D4" s="4" t="inlineStr">
        <is>
          <t>Difference / Check</t>
        </is>
      </c>
    </row>
    <row r="5">
      <c r="A5" s="6" t="inlineStr">
        <is>
          <t>Original Loan Amount</t>
        </is>
      </c>
      <c r="B5" s="49">
        <f>LoanAmount</f>
        <v/>
      </c>
      <c r="C5" s="60">
        <f>SUM(Schedule!$M$3:$M$62)</f>
        <v/>
      </c>
      <c r="D5" s="49">
        <f>B4-C4</f>
        <v/>
      </c>
    </row>
    <row r="6">
      <c r="A6" s="6" t="inlineStr">
        <is>
          <t>Total Principal Paid</t>
        </is>
      </c>
      <c r="B6" s="49">
        <f>LoanAmount-SUM(Schedule!$M$3:$M$62)</f>
        <v/>
      </c>
      <c r="C6" s="60">
        <f>IFERROR(SUMIF(Schedule!$P$3:$P$62,"&lt;&gt;Paid",Schedule!$G$3:$G$62),0)</f>
        <v/>
      </c>
      <c r="D6" s="49">
        <f>B5-C5</f>
        <v/>
      </c>
    </row>
    <row r="7">
      <c r="A7" s="6" t="inlineStr">
        <is>
          <t>Outstanding Principal</t>
        </is>
      </c>
      <c r="B7" s="49">
        <f>LoanAmount-SUM(Schedule!$M$3:$M$62)</f>
        <v/>
      </c>
      <c r="C7" s="60">
        <f>IFERROR(INDEX(Schedule!$O$3:$O$62,MATCH(TRUE,Schedule!$O$3:$O$62&lt;&gt;"",0)+COUNTIF(Schedule!$A$3:$A$62,"&lt;="&amp;Tenure)-1),0)</f>
        <v/>
      </c>
      <c r="D7" s="49">
        <f>IF(ABS(B6-C6)&lt;1,"OK ✓","DISCREPANCY ✗")</f>
        <v/>
      </c>
    </row>
    <row r="9">
      <c r="A9" s="5" t="inlineStr">
        <is>
          <t>INTEREST RECONCILIATION</t>
        </is>
      </c>
      <c r="B9" s="43" t="n"/>
      <c r="C9" s="43" t="n"/>
      <c r="D9" s="44" t="n"/>
    </row>
    <row r="10">
      <c r="A10" s="4" t="inlineStr">
        <is>
          <t>Metric</t>
        </is>
      </c>
      <c r="B10" s="4" t="inlineStr">
        <is>
          <t>Expected / Target</t>
        </is>
      </c>
      <c r="C10" s="4">
        <f>SUM(Schedule!$F$3:$F$62)</f>
        <v/>
      </c>
      <c r="D10" s="4" t="inlineStr">
        <is>
          <t>Difference / Check</t>
        </is>
      </c>
    </row>
    <row r="11">
      <c r="A11" s="6" t="inlineStr">
        <is>
          <t>Total Interest Expected</t>
        </is>
      </c>
      <c r="B11" s="49">
        <f>Inputs!B19</f>
        <v/>
      </c>
      <c r="C11" s="60">
        <f>SUM(Schedule!$L$3:$L$62)</f>
        <v/>
      </c>
      <c r="D11" s="49">
        <f>B10-C10</f>
        <v/>
      </c>
    </row>
    <row r="12">
      <c r="A12" s="6" t="inlineStr">
        <is>
          <t>Total Interest Paid</t>
        </is>
      </c>
      <c r="B12" s="49">
        <f>SUM(Schedule!$F$3:$F$62)-SUM(Schedule!$L$3:$L$62)</f>
        <v/>
      </c>
      <c r="C12" s="60">
        <f>SUMIF(Schedule!$P$3:$P$62,"&lt;&gt;Paid",Schedule!$F$3:$F$62)</f>
        <v/>
      </c>
      <c r="D12" s="49">
        <f>B11-C11</f>
        <v/>
      </c>
    </row>
    <row r="13">
      <c r="A13" s="6" t="inlineStr">
        <is>
          <t>Outstanding Interest</t>
        </is>
      </c>
      <c r="B13" s="49">
        <f>SUM(Schedule!$F$3:$F$62)-SUM(Schedule!$L$3:$L$62)</f>
        <v/>
      </c>
      <c r="C13" s="60">
        <f>SUMIF(Schedule!$P$3:$P$62,"&lt;&gt;Paid",Schedule!$F$3:$F$62)</f>
        <v/>
      </c>
      <c r="D13" s="49">
        <f>IF(ABS(B12-C12)&lt;1,"OK ✓","DISCREPANCY ✗")</f>
        <v/>
      </c>
    </row>
    <row r="15">
      <c r="A15" s="5" t="n"/>
      <c r="B15" s="43" t="n"/>
      <c r="C15" s="43" t="n"/>
      <c r="D15" s="44" t="n"/>
    </row>
    <row r="16">
      <c r="A16" s="4" t="inlineStr">
        <is>
          <t>Metric</t>
        </is>
      </c>
      <c r="B16" s="4">
        <f>SUM(Schedule!$J$3:$J$62)</f>
        <v/>
      </c>
      <c r="C16" s="4">
        <f>SUM(Schedule!$J$3:$J$62)</f>
        <v/>
      </c>
      <c r="D16" s="4" t="inlineStr">
        <is>
          <t>Difference / Check</t>
        </is>
      </c>
    </row>
    <row r="17">
      <c r="A17" s="6" t="inlineStr">
        <is>
          <t>Total Penalties Assessed</t>
        </is>
      </c>
      <c r="B17" s="49">
        <f>SUM(Schedule!$K$3:$K$62)</f>
        <v/>
      </c>
      <c r="C17" s="60">
        <f>SUM(Schedule!$K$3:$K$62)</f>
        <v/>
      </c>
      <c r="D17" s="49">
        <f>B16-C16</f>
        <v/>
      </c>
    </row>
    <row r="18">
      <c r="A18" s="6" t="inlineStr">
        <is>
          <t>Total Penalties Paid</t>
        </is>
      </c>
      <c r="B18" s="49">
        <f>SUM(Schedule!$K$3:$K$62)</f>
        <v/>
      </c>
      <c r="C18" s="60">
        <f>SUM(Schedule!$K$3:$K$62)</f>
        <v/>
      </c>
      <c r="D18" s="49">
        <f>B17-C17</f>
        <v/>
      </c>
    </row>
    <row r="19">
      <c r="A19" s="6" t="inlineStr">
        <is>
          <t>Outstanding Penalties</t>
        </is>
      </c>
      <c r="B19" s="49">
        <f>B16-B17</f>
        <v/>
      </c>
      <c r="C19" s="49">
        <f>C16-C17</f>
        <v/>
      </c>
      <c r="D19" s="49">
        <f>IF(ABS(B18-C18)&lt;0.001,"OK ✓","DISCREPANCY ✗")</f>
        <v/>
      </c>
    </row>
    <row r="21">
      <c r="A21" s="5" t="inlineStr">
        <is>
          <t>OVERALL SUMMARY</t>
        </is>
      </c>
      <c r="B21" s="43" t="n"/>
      <c r="C21" s="43" t="n"/>
      <c r="D21" s="44" t="n"/>
    </row>
    <row r="22">
      <c r="A22" s="4" t="inlineStr">
        <is>
          <t>Metric</t>
        </is>
      </c>
      <c r="B22" s="4" t="inlineStr">
        <is>
          <t>Expected / Target</t>
        </is>
      </c>
      <c r="C22" s="4" t="inlineStr">
        <is>
          <t>Actual (from schedule)</t>
        </is>
      </c>
      <c r="D22" s="4" t="inlineStr">
        <is>
          <t>Difference / Check</t>
        </is>
      </c>
    </row>
    <row r="23">
      <c r="A23" s="6" t="inlineStr">
        <is>
          <t>Total EMI Scheduled</t>
        </is>
      </c>
      <c r="B23" s="49">
        <f>SUM(Payments!$C$3:$C$200)</f>
        <v/>
      </c>
      <c r="C23" s="60">
        <f>SUM(Schedule!$H$3:$H$62)</f>
        <v/>
      </c>
      <c r="D23" s="49">
        <f>B22-C22</f>
        <v/>
      </c>
    </row>
    <row r="24">
      <c r="A24" s="6" t="inlineStr">
        <is>
          <t>Total Cash Received</t>
        </is>
      </c>
      <c r="B24" s="49">
        <f>MAX(Schedule!$O$3:$O$62)</f>
        <v/>
      </c>
      <c r="C24" s="60">
        <f>LoanAmount-SUM(Schedule!$M$3:$M$62)</f>
        <v/>
      </c>
      <c r="D24" s="49">
        <f>IF(ABS(B23-C23)&lt;0.001,"OK ✓","MATCH ✓")</f>
        <v/>
      </c>
    </row>
    <row r="25">
      <c r="A25" s="6" t="inlineStr">
        <is>
          <t>Current Outstanding Balance</t>
        </is>
      </c>
      <c r="B25" s="49">
        <f>MAX(Schedule!$O$3:$O$62)</f>
        <v/>
      </c>
      <c r="C25" s="60">
        <f>LoanAmount-SUM(Schedule!$M$3:$M$62)</f>
        <v/>
      </c>
      <c r="D25" s="49">
        <f>IF(ABS(B24-C24)&lt;1,"BALANCED ✓","DISCREPANCY ✗")</f>
        <v/>
      </c>
    </row>
    <row r="26">
      <c r="A26" s="6" t="inlineStr">
        <is>
          <t>Overdue Installments</t>
        </is>
      </c>
      <c r="B26" s="49">
        <f>COUNTIF(Schedule!$P$3:$P$62,"Overdue")</f>
        <v/>
      </c>
      <c r="C26" s="60">
        <f>COUNTIF(Schedule!$P$3:$P$62,"Partial")</f>
        <v/>
      </c>
      <c r="D26" s="33" t="inlineStr">
        <is>
          <t>Overdue | Partial</t>
        </is>
      </c>
    </row>
  </sheetData>
  <mergeCells count="5">
    <mergeCell ref="A1:D1"/>
    <mergeCell ref="A9:D9"/>
    <mergeCell ref="A3:D3"/>
    <mergeCell ref="A21:D21"/>
    <mergeCell ref="A15:D15"/>
  </mergeCells>
  <conditionalFormatting sqref="D1:D50">
    <cfRule type="expression" priority="1" dxfId="3">
      <formula>ISNUMBER(SEARCH("✓",D1))</formula>
    </cfRule>
    <cfRule type="expression" priority="2" dxfId="4">
      <formula>ISNUMBER(SEARCH("✗",D1))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Installment</t>
        </is>
      </c>
      <c r="B1" t="inlineStr">
        <is>
          <t>From Date</t>
        </is>
      </c>
      <c r="C1" t="inlineStr">
        <is>
          <t>Due Date</t>
        </is>
      </c>
      <c r="D1" t="inlineStr">
        <is>
          <t>Days</t>
        </is>
      </c>
      <c r="E1" t="inlineStr">
        <is>
          <t>Opening</t>
        </is>
      </c>
      <c r="F1" t="inlineStr">
        <is>
          <t>Interest Due</t>
        </is>
      </c>
      <c r="G1" t="inlineStr">
        <is>
          <t>Principal Due</t>
        </is>
      </c>
      <c r="H1" t="inlineStr">
        <is>
          <t>Penalty Due</t>
        </is>
      </c>
      <c r="I1" t="inlineStr">
        <is>
          <t>Paid Interest</t>
        </is>
      </c>
      <c r="J1" t="inlineStr">
        <is>
          <t>Paid Principal</t>
        </is>
      </c>
      <c r="K1" t="inlineStr">
        <is>
          <t>Paid Penalty</t>
        </is>
      </c>
      <c r="L1" t="inlineStr">
        <is>
          <t>Paid Total</t>
        </is>
      </c>
      <c r="M1" t="inlineStr">
        <is>
          <t>Closing</t>
        </is>
      </c>
      <c r="N1" t="inlineStr">
        <is>
          <t>Status</t>
        </is>
      </c>
      <c r="O1" t="inlineStr">
        <is>
          <t>Last Payment Date</t>
        </is>
      </c>
    </row>
    <row r="2">
      <c r="A2" t="n">
        <v>1</v>
      </c>
      <c r="B2" s="67" t="n">
        <v>46091</v>
      </c>
      <c r="C2" s="67" t="n">
        <v>46122</v>
      </c>
      <c r="D2" t="n">
        <v>31</v>
      </c>
      <c r="E2" t="n">
        <v>1500000</v>
      </c>
      <c r="F2" t="n">
        <v>51150</v>
      </c>
      <c r="G2" t="n">
        <v>7126.9397412341</v>
      </c>
      <c r="H2" t="n">
        <v>0</v>
      </c>
      <c r="I2" t="n">
        <v>51150</v>
      </c>
      <c r="J2" t="n">
        <v>7126.9397412341</v>
      </c>
      <c r="K2" t="n">
        <v>0</v>
      </c>
      <c r="L2" t="n">
        <v>58276.9397412341</v>
      </c>
      <c r="M2" t="n">
        <v>1492873.060258766</v>
      </c>
      <c r="N2" t="inlineStr">
        <is>
          <t>Paid</t>
        </is>
      </c>
      <c r="O2" s="67" t="n">
        <v>45703</v>
      </c>
    </row>
    <row r="3">
      <c r="A3" t="n">
        <v>2</v>
      </c>
      <c r="B3" s="67" t="n">
        <v>46122</v>
      </c>
      <c r="C3" s="67" t="n">
        <v>46153</v>
      </c>
      <c r="D3" t="n">
        <v>31</v>
      </c>
      <c r="E3" t="n">
        <v>1492873.060258766</v>
      </c>
      <c r="F3" t="n">
        <v>50906.9713548239</v>
      </c>
      <c r="G3" t="n">
        <v>7369.9683864102</v>
      </c>
      <c r="H3" t="n">
        <v>0</v>
      </c>
      <c r="I3" t="n">
        <v>29138.4698706171</v>
      </c>
      <c r="J3" t="n">
        <v>0</v>
      </c>
      <c r="K3" t="n">
        <v>0</v>
      </c>
      <c r="L3" t="n">
        <v>87415.4096118512</v>
      </c>
      <c r="M3" t="n">
        <v>1492873.060258766</v>
      </c>
      <c r="N3" t="inlineStr">
        <is>
          <t>Partial</t>
        </is>
      </c>
      <c r="O3" s="67" t="n">
        <v>45736</v>
      </c>
    </row>
    <row r="4">
      <c r="A4" t="n">
        <v>3</v>
      </c>
      <c r="B4" s="67" t="n">
        <v>46153</v>
      </c>
      <c r="C4" s="67" t="n">
        <v>46183</v>
      </c>
      <c r="D4" t="n">
        <v>30</v>
      </c>
      <c r="E4" t="n">
        <v>1485503.091872356</v>
      </c>
      <c r="F4" t="n">
        <v>49021.6020317877</v>
      </c>
      <c r="G4" t="n">
        <v>9255.337709446399</v>
      </c>
      <c r="H4" t="n">
        <v>0</v>
      </c>
      <c r="I4" t="n">
        <v>49021.6020317877</v>
      </c>
      <c r="J4" t="n">
        <v>9255.337709446399</v>
      </c>
      <c r="K4" t="n">
        <v>0</v>
      </c>
      <c r="L4" t="n">
        <v>58276.9397412341</v>
      </c>
      <c r="M4" t="n">
        <v>1476247.754162909</v>
      </c>
      <c r="N4" t="inlineStr">
        <is>
          <t>Partial</t>
        </is>
      </c>
      <c r="O4" s="67" t="n">
        <v>45762</v>
      </c>
    </row>
    <row r="5">
      <c r="A5" t="n">
        <v>4</v>
      </c>
      <c r="B5" s="67" t="n">
        <v>46183</v>
      </c>
      <c r="C5" s="67" t="n">
        <v>46213</v>
      </c>
      <c r="D5" t="n">
        <v>30</v>
      </c>
      <c r="E5" t="n">
        <v>1476247.754162909</v>
      </c>
      <c r="F5" t="n">
        <v>48716.175887376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1476247.754162909</v>
      </c>
      <c r="N5" t="inlineStr">
        <is>
          <t>Pending</t>
        </is>
      </c>
    </row>
    <row r="6">
      <c r="A6" t="n">
        <v>5</v>
      </c>
      <c r="B6" s="67" t="n">
        <v>46213</v>
      </c>
      <c r="C6" s="67" t="n">
        <v>46244</v>
      </c>
      <c r="D6" t="n">
        <v>31</v>
      </c>
      <c r="E6" t="n">
        <v>1476247.754162909</v>
      </c>
      <c r="F6" t="n">
        <v>50340.0484169552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1476247.754162909</v>
      </c>
      <c r="N6" t="inlineStr">
        <is>
          <t>Pending</t>
        </is>
      </c>
    </row>
    <row r="7">
      <c r="A7" t="n">
        <v>6</v>
      </c>
      <c r="B7" s="67" t="n">
        <v>46244</v>
      </c>
      <c r="C7" s="67" t="n">
        <v>46275</v>
      </c>
      <c r="D7" t="n">
        <v>31</v>
      </c>
      <c r="E7" t="n">
        <v>1476247.754162909</v>
      </c>
      <c r="F7" t="n">
        <v>50340.0484169552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1476247.754162909</v>
      </c>
      <c r="N7" t="inlineStr">
        <is>
          <t>Pending</t>
        </is>
      </c>
    </row>
    <row r="8">
      <c r="A8" t="n">
        <v>7</v>
      </c>
      <c r="B8" s="67" t="n">
        <v>46275</v>
      </c>
      <c r="C8" s="67" t="n">
        <v>46307</v>
      </c>
      <c r="D8" t="n">
        <v>32</v>
      </c>
      <c r="E8" t="n">
        <v>1476247.754162909</v>
      </c>
      <c r="F8" t="n">
        <v>51963.9209465344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1476247.754162909</v>
      </c>
      <c r="N8" t="inlineStr">
        <is>
          <t>Pending</t>
        </is>
      </c>
    </row>
    <row r="9">
      <c r="A9" t="n">
        <v>8</v>
      </c>
      <c r="B9" s="67" t="n">
        <v>46307</v>
      </c>
      <c r="C9" s="67" t="n">
        <v>46336</v>
      </c>
      <c r="D9" t="n">
        <v>29</v>
      </c>
      <c r="E9" t="n">
        <v>1476247.754162909</v>
      </c>
      <c r="F9" t="n">
        <v>47092.3033577968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1476247.754162909</v>
      </c>
      <c r="N9" t="inlineStr">
        <is>
          <t>Pending</t>
        </is>
      </c>
    </row>
    <row r="10">
      <c r="A10" t="n">
        <v>9</v>
      </c>
      <c r="B10" s="67" t="n">
        <v>46336</v>
      </c>
      <c r="C10" s="67" t="n">
        <v>46366</v>
      </c>
      <c r="D10" t="n">
        <v>30</v>
      </c>
      <c r="E10" t="n">
        <v>1476247.754162909</v>
      </c>
      <c r="F10" t="n">
        <v>48716.175887376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1476247.754162909</v>
      </c>
      <c r="N10" t="inlineStr">
        <is>
          <t>Pending</t>
        </is>
      </c>
    </row>
    <row r="11">
      <c r="A11" t="n">
        <v>10</v>
      </c>
      <c r="B11" s="67" t="n">
        <v>46366</v>
      </c>
      <c r="C11" s="67" t="n">
        <v>46398</v>
      </c>
      <c r="D11" t="n">
        <v>32</v>
      </c>
      <c r="E11" t="n">
        <v>1476247.754162909</v>
      </c>
      <c r="F11" t="n">
        <v>51963.9209465344</v>
      </c>
      <c r="G11" t="n">
        <v>6981.0648517866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1476247.754162909</v>
      </c>
      <c r="N11" t="inlineStr">
        <is>
          <t>Pending</t>
        </is>
      </c>
    </row>
    <row r="12">
      <c r="A12" t="n">
        <v>11</v>
      </c>
      <c r="B12" s="67" t="n">
        <v>46398</v>
      </c>
      <c r="C12" s="67" t="n">
        <v>46428</v>
      </c>
      <c r="D12" t="n">
        <v>30</v>
      </c>
      <c r="E12" t="n">
        <v>1469266.689311123</v>
      </c>
      <c r="F12" t="n">
        <v>48485.800747267</v>
      </c>
      <c r="G12" t="n">
        <v>11714.2780054278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1469266.689311123</v>
      </c>
      <c r="N12" t="inlineStr">
        <is>
          <t>Pending</t>
        </is>
      </c>
    </row>
    <row r="13">
      <c r="A13" t="n">
        <v>12</v>
      </c>
      <c r="B13" s="67" t="n">
        <v>46428</v>
      </c>
      <c r="C13" s="67" t="n">
        <v>46456</v>
      </c>
      <c r="D13" t="n">
        <v>28</v>
      </c>
      <c r="E13" t="n">
        <v>1457552.411305695</v>
      </c>
      <c r="F13" t="n">
        <v>44892.6142682154</v>
      </c>
      <c r="G13" t="n">
        <v>15179.2552170487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1457552.411305695</v>
      </c>
      <c r="N13" t="inlineStr">
        <is>
          <t>Pending</t>
        </is>
      </c>
    </row>
    <row r="14">
      <c r="A14" t="n">
        <v>13</v>
      </c>
      <c r="B14" s="67" t="n">
        <v>46456</v>
      </c>
      <c r="C14" s="67" t="n">
        <v>46489</v>
      </c>
      <c r="D14" t="n">
        <v>33</v>
      </c>
      <c r="E14" t="n">
        <v>1442373.156088646</v>
      </c>
      <c r="F14" t="n">
        <v>52358.1455660179</v>
      </c>
      <c r="G14" t="n">
        <v>8034.2470878231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1442373.156088646</v>
      </c>
      <c r="N14" t="inlineStr">
        <is>
          <t>Pending</t>
        </is>
      </c>
    </row>
    <row r="15">
      <c r="A15" t="n">
        <v>14</v>
      </c>
      <c r="B15" s="67" t="n">
        <v>46489</v>
      </c>
      <c r="C15" s="67" t="n">
        <v>46517</v>
      </c>
      <c r="D15" t="n">
        <v>28</v>
      </c>
      <c r="E15" t="n">
        <v>1434338.909000823</v>
      </c>
      <c r="F15" t="n">
        <v>44177.6383972253</v>
      </c>
      <c r="G15" t="n">
        <v>15894.2310880388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1434338.909000823</v>
      </c>
      <c r="N15" t="inlineStr">
        <is>
          <t>Pending</t>
        </is>
      </c>
    </row>
    <row r="16">
      <c r="A16" t="n">
        <v>15</v>
      </c>
      <c r="B16" s="67" t="n">
        <v>46517</v>
      </c>
      <c r="C16" s="67" t="n">
        <v>46548</v>
      </c>
      <c r="D16" t="n">
        <v>31</v>
      </c>
      <c r="E16" t="n">
        <v>1418444.677912784</v>
      </c>
      <c r="F16" t="n">
        <v>48368.9635168259</v>
      </c>
      <c r="G16" t="n">
        <v>11895.2198695842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1418444.677912784</v>
      </c>
      <c r="N16" t="inlineStr">
        <is>
          <t>Pending</t>
        </is>
      </c>
    </row>
    <row r="17">
      <c r="A17" t="n">
        <v>16</v>
      </c>
      <c r="B17" s="67" t="n">
        <v>46548</v>
      </c>
      <c r="C17" s="67" t="n">
        <v>46580</v>
      </c>
      <c r="D17" t="n">
        <v>32</v>
      </c>
      <c r="E17" t="n">
        <v>1406549.4580432</v>
      </c>
      <c r="F17" t="n">
        <v>49510.5409231206</v>
      </c>
      <c r="G17" t="n">
        <v>10817.7470970049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1406549.4580432</v>
      </c>
      <c r="N17" t="inlineStr">
        <is>
          <t>Pending</t>
        </is>
      </c>
    </row>
    <row r="18">
      <c r="A18" t="n">
        <v>17</v>
      </c>
      <c r="B18" s="67" t="n">
        <v>46580</v>
      </c>
      <c r="C18" s="67" t="n">
        <v>46609</v>
      </c>
      <c r="D18" t="n">
        <v>29</v>
      </c>
      <c r="E18" t="n">
        <v>1395731.710946195</v>
      </c>
      <c r="F18" t="n">
        <v>44523.8415791836</v>
      </c>
      <c r="G18" t="n">
        <v>15612.1325397958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1395731.710946195</v>
      </c>
      <c r="N18" t="inlineStr">
        <is>
          <t>Pending</t>
        </is>
      </c>
    </row>
    <row r="19">
      <c r="A19" t="n">
        <v>18</v>
      </c>
      <c r="B19" s="67" t="n">
        <v>46609</v>
      </c>
      <c r="C19" s="67" t="n">
        <v>46640</v>
      </c>
      <c r="D19" t="n">
        <v>31</v>
      </c>
      <c r="E19" t="n">
        <v>1380119.578406399</v>
      </c>
      <c r="F19" t="n">
        <v>47062.0776236582</v>
      </c>
      <c r="G19" t="n">
        <v>13202.105762752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1380119.578406399</v>
      </c>
      <c r="N19" t="inlineStr">
        <is>
          <t>Pending</t>
        </is>
      </c>
    </row>
    <row r="20">
      <c r="A20" t="n">
        <v>19</v>
      </c>
      <c r="B20" s="67" t="n">
        <v>46640</v>
      </c>
      <c r="C20" s="67" t="n">
        <v>46671</v>
      </c>
      <c r="D20" t="n">
        <v>31</v>
      </c>
      <c r="E20" t="n">
        <v>1366917.472643647</v>
      </c>
      <c r="F20" t="n">
        <v>46611.8858171484</v>
      </c>
      <c r="G20" t="n">
        <v>13652.2975692618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1366917.472643647</v>
      </c>
      <c r="N20" t="inlineStr">
        <is>
          <t>Pending</t>
        </is>
      </c>
    </row>
    <row r="21">
      <c r="A21" t="n">
        <v>20</v>
      </c>
      <c r="B21" s="67" t="n">
        <v>46671</v>
      </c>
      <c r="C21" s="67" t="n">
        <v>46701</v>
      </c>
      <c r="D21" t="n">
        <v>30</v>
      </c>
      <c r="E21" t="n">
        <v>1353265.175074385</v>
      </c>
      <c r="F21" t="n">
        <v>44657.7507774547</v>
      </c>
      <c r="G21" t="n">
        <v>15542.3279752401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1353265.175074385</v>
      </c>
      <c r="N21" t="inlineStr">
        <is>
          <t>Pending</t>
        </is>
      </c>
    </row>
    <row r="22">
      <c r="A22" t="n">
        <v>21</v>
      </c>
      <c r="B22" s="67" t="n">
        <v>46701</v>
      </c>
      <c r="C22" s="67" t="n">
        <v>46731</v>
      </c>
      <c r="D22" t="n">
        <v>30</v>
      </c>
      <c r="E22" t="n">
        <v>1337722.847099145</v>
      </c>
      <c r="F22" t="n">
        <v>44144.8539542718</v>
      </c>
      <c r="G22" t="n">
        <v>16055.224798423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1337722.847099145</v>
      </c>
      <c r="N22" t="inlineStr">
        <is>
          <t>Pending</t>
        </is>
      </c>
    </row>
    <row r="23">
      <c r="A23" t="n">
        <v>22</v>
      </c>
      <c r="B23" s="67" t="n">
        <v>46731</v>
      </c>
      <c r="C23" s="67" t="n">
        <v>46762</v>
      </c>
      <c r="D23" t="n">
        <v>31</v>
      </c>
      <c r="E23" t="n">
        <v>1321667.622300722</v>
      </c>
      <c r="F23" t="n">
        <v>45068.8659204546</v>
      </c>
      <c r="G23" t="n">
        <v>15195.3174659556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1321667.622300722</v>
      </c>
      <c r="N23" t="inlineStr">
        <is>
          <t>Pending</t>
        </is>
      </c>
    </row>
    <row r="24">
      <c r="A24" t="n">
        <v>23</v>
      </c>
      <c r="B24" s="67" t="n">
        <v>46762</v>
      </c>
      <c r="C24" s="67" t="n">
        <v>46793</v>
      </c>
      <c r="D24" t="n">
        <v>31</v>
      </c>
      <c r="E24" t="n">
        <v>1306472.304834767</v>
      </c>
      <c r="F24" t="n">
        <v>44550.7055948655</v>
      </c>
      <c r="G24" t="n">
        <v>15713.4777915446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1306472.304834767</v>
      </c>
      <c r="N24" t="inlineStr">
        <is>
          <t>Pending</t>
        </is>
      </c>
    </row>
    <row r="25">
      <c r="A25" t="n">
        <v>24</v>
      </c>
      <c r="B25" s="67" t="n">
        <v>46793</v>
      </c>
      <c r="C25" s="67" t="n">
        <v>46822</v>
      </c>
      <c r="D25" t="n">
        <v>29</v>
      </c>
      <c r="E25" t="n">
        <v>1290758.827043222</v>
      </c>
      <c r="F25" t="n">
        <v>41175.2065826788</v>
      </c>
      <c r="G25" t="n">
        <v>18960.7675363007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1290758.827043222</v>
      </c>
      <c r="N25" t="inlineStr">
        <is>
          <t>Pending</t>
        </is>
      </c>
    </row>
    <row r="26">
      <c r="A26" t="n">
        <v>25</v>
      </c>
      <c r="B26" s="67" t="n">
        <v>46822</v>
      </c>
      <c r="C26" s="67" t="n">
        <v>46853</v>
      </c>
      <c r="D26" t="n">
        <v>31</v>
      </c>
      <c r="E26" t="n">
        <v>1271798.059506921</v>
      </c>
      <c r="F26" t="n">
        <v>43368.313829186</v>
      </c>
      <c r="G26" t="n">
        <v>16895.8695572242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1271798.059506921</v>
      </c>
      <c r="N26" t="inlineStr">
        <is>
          <t>Pending</t>
        </is>
      </c>
    </row>
    <row r="27">
      <c r="A27" t="n">
        <v>26</v>
      </c>
      <c r="B27" s="67" t="n">
        <v>46853</v>
      </c>
      <c r="C27" s="67" t="n">
        <v>46883</v>
      </c>
      <c r="D27" t="n">
        <v>30</v>
      </c>
      <c r="E27" t="n">
        <v>1254902.189949697</v>
      </c>
      <c r="F27" t="n">
        <v>41411.77226834</v>
      </c>
      <c r="G27" t="n">
        <v>18788.3064843548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1254902.189949697</v>
      </c>
      <c r="N27" t="inlineStr">
        <is>
          <t>Pending</t>
        </is>
      </c>
    </row>
    <row r="28">
      <c r="A28" t="n">
        <v>27</v>
      </c>
      <c r="B28" s="67" t="n">
        <v>46883</v>
      </c>
      <c r="C28" s="67" t="n">
        <v>46916</v>
      </c>
      <c r="D28" t="n">
        <v>33</v>
      </c>
      <c r="E28" t="n">
        <v>1236113.883465342</v>
      </c>
      <c r="F28" t="n">
        <v>44870.9339697919</v>
      </c>
      <c r="G28" t="n">
        <v>15521.458684049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1236113.883465342</v>
      </c>
      <c r="N28" t="inlineStr">
        <is>
          <t>Pending</t>
        </is>
      </c>
    </row>
    <row r="29">
      <c r="A29" t="n">
        <v>28</v>
      </c>
      <c r="B29" s="67" t="n">
        <v>46916</v>
      </c>
      <c r="C29" s="67" t="n">
        <v>46944</v>
      </c>
      <c r="D29" t="n">
        <v>28</v>
      </c>
      <c r="E29" t="n">
        <v>1220592.424781293</v>
      </c>
      <c r="F29" t="n">
        <v>37594.2466832638</v>
      </c>
      <c r="G29" t="n">
        <v>22477.6228020003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1220592.424781293</v>
      </c>
      <c r="N29" t="inlineStr">
        <is>
          <t>Pending</t>
        </is>
      </c>
    </row>
    <row r="30">
      <c r="A30" t="n">
        <v>29</v>
      </c>
      <c r="B30" s="67" t="n">
        <v>46944</v>
      </c>
      <c r="C30" s="67" t="n">
        <v>46975</v>
      </c>
      <c r="D30" t="n">
        <v>31</v>
      </c>
      <c r="E30" t="n">
        <v>1198114.801979293</v>
      </c>
      <c r="F30" t="n">
        <v>40855.7147474939</v>
      </c>
      <c r="G30" t="n">
        <v>19408.4686389163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1198114.801979293</v>
      </c>
      <c r="N30" t="inlineStr">
        <is>
          <t>Pending</t>
        </is>
      </c>
    </row>
    <row r="31">
      <c r="A31" t="n">
        <v>30</v>
      </c>
      <c r="B31" s="67" t="n">
        <v>46975</v>
      </c>
      <c r="C31" s="67" t="n">
        <v>47007</v>
      </c>
      <c r="D31" t="n">
        <v>32</v>
      </c>
      <c r="E31" t="n">
        <v>1178706.333340376</v>
      </c>
      <c r="F31" t="n">
        <v>41490.4629335812</v>
      </c>
      <c r="G31" t="n">
        <v>18837.8250865443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1178706.333340376</v>
      </c>
      <c r="N31" t="inlineStr">
        <is>
          <t>Pending</t>
        </is>
      </c>
    </row>
    <row r="32">
      <c r="A32" t="n">
        <v>31</v>
      </c>
      <c r="B32" s="67" t="n">
        <v>47007</v>
      </c>
      <c r="C32" s="67" t="n">
        <v>47036</v>
      </c>
      <c r="D32" t="n">
        <v>29</v>
      </c>
      <c r="E32" t="n">
        <v>1159868.508253832</v>
      </c>
      <c r="F32" t="n">
        <v>36999.8054132972</v>
      </c>
      <c r="G32" t="n">
        <v>23136.1687056822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1159868.508253832</v>
      </c>
      <c r="N32" t="inlineStr">
        <is>
          <t>Pending</t>
        </is>
      </c>
    </row>
    <row r="33">
      <c r="A33" t="n">
        <v>32</v>
      </c>
      <c r="B33" s="67" t="n">
        <v>47036</v>
      </c>
      <c r="C33" s="67" t="n">
        <v>47067</v>
      </c>
      <c r="D33" t="n">
        <v>31</v>
      </c>
      <c r="E33" t="n">
        <v>1136732.33954815</v>
      </c>
      <c r="F33" t="n">
        <v>38762.5727785919</v>
      </c>
      <c r="G33" t="n">
        <v>21501.6106078183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1136732.33954815</v>
      </c>
      <c r="N33" t="inlineStr">
        <is>
          <t>Pending</t>
        </is>
      </c>
    </row>
    <row r="34">
      <c r="A34" t="n">
        <v>33</v>
      </c>
      <c r="B34" s="67" t="n">
        <v>47067</v>
      </c>
      <c r="C34" s="67" t="n">
        <v>47098</v>
      </c>
      <c r="D34" t="n">
        <v>31</v>
      </c>
      <c r="E34" t="n">
        <v>1115230.728940332</v>
      </c>
      <c r="F34" t="n">
        <v>38029.3678568653</v>
      </c>
      <c r="G34" t="n">
        <v>22234.8155295449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1115230.728940332</v>
      </c>
      <c r="N34" t="inlineStr">
        <is>
          <t>Pending</t>
        </is>
      </c>
    </row>
    <row r="35">
      <c r="A35" t="n">
        <v>34</v>
      </c>
      <c r="B35" s="67" t="n">
        <v>47098</v>
      </c>
      <c r="C35" s="67" t="n">
        <v>47128</v>
      </c>
      <c r="D35" t="n">
        <v>30</v>
      </c>
      <c r="E35" t="n">
        <v>1092995.913410787</v>
      </c>
      <c r="F35" t="n">
        <v>36068.865142556</v>
      </c>
      <c r="G35" t="n">
        <v>24131.2136101389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1092995.913410787</v>
      </c>
      <c r="N35" t="inlineStr">
        <is>
          <t>Pending</t>
        </is>
      </c>
    </row>
    <row r="36">
      <c r="A36" t="n">
        <v>35</v>
      </c>
      <c r="B36" s="67" t="n">
        <v>47128</v>
      </c>
      <c r="C36" s="67" t="n">
        <v>47161</v>
      </c>
      <c r="D36" t="n">
        <v>33</v>
      </c>
      <c r="E36" t="n">
        <v>1068864.699800648</v>
      </c>
      <c r="F36" t="n">
        <v>38799.7886027635</v>
      </c>
      <c r="G36" t="n">
        <v>21592.6040510774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1068864.699800648</v>
      </c>
      <c r="N36" t="inlineStr">
        <is>
          <t>Pending</t>
        </is>
      </c>
    </row>
    <row r="37">
      <c r="A37" t="n">
        <v>36</v>
      </c>
      <c r="B37" s="67" t="n">
        <v>47161</v>
      </c>
      <c r="C37" s="67" t="n">
        <v>47189</v>
      </c>
      <c r="D37" t="n">
        <v>28</v>
      </c>
      <c r="E37" t="n">
        <v>1047272.09574957</v>
      </c>
      <c r="F37" t="n">
        <v>32255.9805490868</v>
      </c>
      <c r="G37" t="n">
        <v>27815.8889361773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1047272.09574957</v>
      </c>
      <c r="N37" t="inlineStr">
        <is>
          <t>Pending</t>
        </is>
      </c>
    </row>
    <row r="38">
      <c r="A38" t="n">
        <v>37</v>
      </c>
      <c r="B38" s="67" t="n">
        <v>47189</v>
      </c>
      <c r="C38" s="67" t="n">
        <v>47218</v>
      </c>
      <c r="D38" t="n">
        <v>29</v>
      </c>
      <c r="E38" t="n">
        <v>1019456.206813393</v>
      </c>
      <c r="F38" t="n">
        <v>32520.6529973472</v>
      </c>
      <c r="G38" t="n">
        <v>27615.3211216322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1019456.206813393</v>
      </c>
      <c r="N38" t="inlineStr">
        <is>
          <t>Pending</t>
        </is>
      </c>
    </row>
    <row r="39">
      <c r="A39" t="n">
        <v>38</v>
      </c>
      <c r="B39" s="67" t="n">
        <v>47218</v>
      </c>
      <c r="C39" s="67" t="n">
        <v>47248</v>
      </c>
      <c r="D39" t="n">
        <v>30</v>
      </c>
      <c r="E39" t="n">
        <v>991840.8856917608</v>
      </c>
      <c r="F39" t="n">
        <v>32730.7492278281</v>
      </c>
      <c r="G39" t="n">
        <v>27469.3295248667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991840.8856917608</v>
      </c>
      <c r="N39" t="inlineStr">
        <is>
          <t>Pending</t>
        </is>
      </c>
    </row>
    <row r="40">
      <c r="A40" t="n">
        <v>39</v>
      </c>
      <c r="B40" s="67" t="n">
        <v>47248</v>
      </c>
      <c r="C40" s="67" t="n">
        <v>47280</v>
      </c>
      <c r="D40" t="n">
        <v>32</v>
      </c>
      <c r="E40" t="n">
        <v>964371.556166894</v>
      </c>
      <c r="F40" t="n">
        <v>33945.8787770747</v>
      </c>
      <c r="G40" t="n">
        <v>26382.4092430509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964371.556166894</v>
      </c>
      <c r="N40" t="inlineStr">
        <is>
          <t>Pending</t>
        </is>
      </c>
    </row>
    <row r="41">
      <c r="A41" t="n">
        <v>40</v>
      </c>
      <c r="B41" s="67" t="n">
        <v>47280</v>
      </c>
      <c r="C41" s="67" t="n">
        <v>47309</v>
      </c>
      <c r="D41" t="n">
        <v>29</v>
      </c>
      <c r="E41" t="n">
        <v>937989.1469238432</v>
      </c>
      <c r="F41" t="n">
        <v>29921.8537868706</v>
      </c>
      <c r="G41" t="n">
        <v>30214.1203321089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937989.1469238432</v>
      </c>
      <c r="N41" t="inlineStr">
        <is>
          <t>Pending</t>
        </is>
      </c>
    </row>
    <row r="42">
      <c r="A42" t="n">
        <v>41</v>
      </c>
      <c r="B42" s="67" t="n">
        <v>47309</v>
      </c>
      <c r="C42" s="67" t="n">
        <v>47340</v>
      </c>
      <c r="D42" t="n">
        <v>31</v>
      </c>
      <c r="E42" t="n">
        <v>907775.0265917343</v>
      </c>
      <c r="F42" t="n">
        <v>30955.1284067781</v>
      </c>
      <c r="G42" t="n">
        <v>29309.054979632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907775.0265917343</v>
      </c>
      <c r="N42" t="inlineStr">
        <is>
          <t>Pending</t>
        </is>
      </c>
    </row>
    <row r="43">
      <c r="A43" t="n">
        <v>42</v>
      </c>
      <c r="B43" s="67" t="n">
        <v>47340</v>
      </c>
      <c r="C43" s="67" t="n">
        <v>47371</v>
      </c>
      <c r="D43" t="n">
        <v>31</v>
      </c>
      <c r="E43" t="n">
        <v>878465.9716121022</v>
      </c>
      <c r="F43" t="n">
        <v>29955.6896319727</v>
      </c>
      <c r="G43" t="n">
        <v>30308.4937544375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878465.9716121022</v>
      </c>
      <c r="N43" t="inlineStr">
        <is>
          <t>Pending</t>
        </is>
      </c>
    </row>
    <row r="44">
      <c r="A44" t="n">
        <v>43</v>
      </c>
      <c r="B44" s="67" t="n">
        <v>47371</v>
      </c>
      <c r="C44" s="67" t="n">
        <v>47401</v>
      </c>
      <c r="D44" t="n">
        <v>30</v>
      </c>
      <c r="E44" t="n">
        <v>848157.4778576647</v>
      </c>
      <c r="F44" t="n">
        <v>27989.1967693029</v>
      </c>
      <c r="G44" t="n">
        <v>32210.8819833919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848157.4778576647</v>
      </c>
      <c r="N44" t="inlineStr">
        <is>
          <t>Pending</t>
        </is>
      </c>
    </row>
    <row r="45">
      <c r="A45" t="n">
        <v>44</v>
      </c>
      <c r="B45" s="67" t="n">
        <v>47401</v>
      </c>
      <c r="C45" s="67" t="n">
        <v>47434</v>
      </c>
      <c r="D45" t="n">
        <v>33</v>
      </c>
      <c r="E45" t="n">
        <v>815946.5958742728</v>
      </c>
      <c r="F45" t="n">
        <v>29618.8614302361</v>
      </c>
      <c r="G45" t="n">
        <v>30773.5312236048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815946.5958742728</v>
      </c>
      <c r="N45" t="inlineStr">
        <is>
          <t>Pending</t>
        </is>
      </c>
    </row>
    <row r="46">
      <c r="A46" t="n">
        <v>45</v>
      </c>
      <c r="B46" s="67" t="n">
        <v>47434</v>
      </c>
      <c r="C46" s="67" t="n">
        <v>47462</v>
      </c>
      <c r="D46" t="n">
        <v>28</v>
      </c>
      <c r="E46" t="n">
        <v>785173.0646506679</v>
      </c>
      <c r="F46" t="n">
        <v>24183.3303912406</v>
      </c>
      <c r="G46" t="n">
        <v>35888.5390940235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785173.0646506679</v>
      </c>
      <c r="N46" t="inlineStr">
        <is>
          <t>Pending</t>
        </is>
      </c>
    </row>
    <row r="47">
      <c r="A47" t="n">
        <v>46</v>
      </c>
      <c r="B47" s="67" t="n">
        <v>47462</v>
      </c>
      <c r="C47" s="67" t="n">
        <v>47493</v>
      </c>
      <c r="D47" t="n">
        <v>31</v>
      </c>
      <c r="E47" t="n">
        <v>749284.5255566444</v>
      </c>
      <c r="F47" t="n">
        <v>25550.6023214816</v>
      </c>
      <c r="G47" t="n">
        <v>34713.5810649286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749284.5255566444</v>
      </c>
      <c r="N47" t="inlineStr">
        <is>
          <t>Pending</t>
        </is>
      </c>
    </row>
    <row r="48">
      <c r="A48" t="n">
        <v>47</v>
      </c>
      <c r="B48" s="67" t="n">
        <v>47493</v>
      </c>
      <c r="C48" s="67" t="n">
        <v>47525</v>
      </c>
      <c r="D48" t="n">
        <v>32</v>
      </c>
      <c r="E48" t="n">
        <v>714570.9444917159</v>
      </c>
      <c r="F48" t="n">
        <v>25152.8972461084</v>
      </c>
      <c r="G48" t="n">
        <v>35175.3907740171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714570.9444917159</v>
      </c>
      <c r="N48" t="inlineStr">
        <is>
          <t>Pending</t>
        </is>
      </c>
    </row>
    <row r="49">
      <c r="A49" t="n">
        <v>48</v>
      </c>
      <c r="B49" s="67" t="n">
        <v>47525</v>
      </c>
      <c r="C49" s="67" t="n">
        <v>47553</v>
      </c>
      <c r="D49" t="n">
        <v>28</v>
      </c>
      <c r="E49" t="n">
        <v>679395.5537176987</v>
      </c>
      <c r="F49" t="n">
        <v>20925.3830545051</v>
      </c>
      <c r="G49" t="n">
        <v>39146.486430759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679395.5537176987</v>
      </c>
      <c r="N49" t="inlineStr">
        <is>
          <t>Pending</t>
        </is>
      </c>
    </row>
    <row r="50">
      <c r="A50" t="n">
        <v>49</v>
      </c>
      <c r="B50" s="67" t="n">
        <v>47553</v>
      </c>
      <c r="C50" s="67" t="n">
        <v>47583</v>
      </c>
      <c r="D50" t="n">
        <v>30</v>
      </c>
      <c r="E50" t="n">
        <v>640249.0672869397</v>
      </c>
      <c r="F50" t="n">
        <v>21128.219220469</v>
      </c>
      <c r="G50" t="n">
        <v>39071.8595322258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640249.0672869397</v>
      </c>
      <c r="N50" t="inlineStr">
        <is>
          <t>Pending</t>
        </is>
      </c>
    </row>
    <row r="51">
      <c r="A51" t="n">
        <v>50</v>
      </c>
      <c r="B51" s="67" t="n">
        <v>47583</v>
      </c>
      <c r="C51" s="67" t="n">
        <v>47613</v>
      </c>
      <c r="D51" t="n">
        <v>30</v>
      </c>
      <c r="E51" t="n">
        <v>601177.2077547139</v>
      </c>
      <c r="F51" t="n">
        <v>19838.8478559056</v>
      </c>
      <c r="G51" t="n">
        <v>40361.2308967893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601177.2077547139</v>
      </c>
      <c r="N51" t="inlineStr">
        <is>
          <t>Pending</t>
        </is>
      </c>
    </row>
    <row r="52">
      <c r="A52" t="n">
        <v>51</v>
      </c>
      <c r="B52" s="67" t="n">
        <v>47613</v>
      </c>
      <c r="C52" s="67" t="n">
        <v>47644</v>
      </c>
      <c r="D52" t="n">
        <v>31</v>
      </c>
      <c r="E52" t="n">
        <v>560815.9768579247</v>
      </c>
      <c r="F52" t="n">
        <v>19123.8248108552</v>
      </c>
      <c r="G52" t="n">
        <v>41140.3585755549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560815.9768579247</v>
      </c>
      <c r="N52" t="inlineStr">
        <is>
          <t>Pending</t>
        </is>
      </c>
    </row>
    <row r="53">
      <c r="A53" t="n">
        <v>52</v>
      </c>
      <c r="B53" s="67" t="n">
        <v>47644</v>
      </c>
      <c r="C53" s="67" t="n">
        <v>47674</v>
      </c>
      <c r="D53" t="n">
        <v>30</v>
      </c>
      <c r="E53" t="n">
        <v>519675.6182823698</v>
      </c>
      <c r="F53" t="n">
        <v>17149.2954033182</v>
      </c>
      <c r="G53" t="n">
        <v>43050.7833493766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519675.6182823698</v>
      </c>
      <c r="N53" t="inlineStr">
        <is>
          <t>Pending</t>
        </is>
      </c>
    </row>
    <row r="54">
      <c r="A54" t="n">
        <v>53</v>
      </c>
      <c r="B54" s="67" t="n">
        <v>47674</v>
      </c>
      <c r="C54" s="67" t="n">
        <v>47707</v>
      </c>
      <c r="D54" t="n">
        <v>33</v>
      </c>
      <c r="E54" t="n">
        <v>476624.8349329932</v>
      </c>
      <c r="F54" t="n">
        <v>17301.4815080677</v>
      </c>
      <c r="G54" t="n">
        <v>43090.9111457732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476624.8349329932</v>
      </c>
      <c r="N54" t="inlineStr">
        <is>
          <t>Pending</t>
        </is>
      </c>
    </row>
    <row r="55">
      <c r="A55" t="n">
        <v>54</v>
      </c>
      <c r="B55" s="67" t="n">
        <v>47707</v>
      </c>
      <c r="C55" s="67" t="n">
        <v>47736</v>
      </c>
      <c r="D55" t="n">
        <v>29</v>
      </c>
      <c r="E55" t="n">
        <v>433533.9237872199</v>
      </c>
      <c r="F55" t="n">
        <v>13829.7321688123</v>
      </c>
      <c r="G55" t="n">
        <v>46306.2419501672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433533.9237872199</v>
      </c>
      <c r="N55" t="inlineStr">
        <is>
          <t>Pending</t>
        </is>
      </c>
    </row>
    <row r="56">
      <c r="A56" t="n">
        <v>55</v>
      </c>
      <c r="B56" s="67" t="n">
        <v>47736</v>
      </c>
      <c r="C56" s="67" t="n">
        <v>47766</v>
      </c>
      <c r="D56" t="n">
        <v>30</v>
      </c>
      <c r="E56" t="n">
        <v>387227.6818370527</v>
      </c>
      <c r="F56" t="n">
        <v>12778.5135006227</v>
      </c>
      <c r="G56" t="n">
        <v>47421.5652520721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387227.6818370527</v>
      </c>
      <c r="N56" t="inlineStr">
        <is>
          <t>Pending</t>
        </is>
      </c>
    </row>
    <row r="57">
      <c r="A57" t="n">
        <v>56</v>
      </c>
      <c r="B57" s="67" t="n">
        <v>47766</v>
      </c>
      <c r="C57" s="67" t="n">
        <v>47798</v>
      </c>
      <c r="D57" t="n">
        <v>32</v>
      </c>
      <c r="E57" t="n">
        <v>339806.1165849807</v>
      </c>
      <c r="F57" t="n">
        <v>11961.1753037913</v>
      </c>
      <c r="G57" t="n">
        <v>48367.1127163342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339806.1165849807</v>
      </c>
      <c r="N57" t="inlineStr">
        <is>
          <t>Pending</t>
        </is>
      </c>
    </row>
    <row r="58">
      <c r="A58" t="n">
        <v>57</v>
      </c>
      <c r="B58" s="67" t="n">
        <v>47798</v>
      </c>
      <c r="C58" s="67" t="n">
        <v>47827</v>
      </c>
      <c r="D58" t="n">
        <v>29</v>
      </c>
      <c r="E58" t="n">
        <v>291439.0038686465</v>
      </c>
      <c r="F58" t="n">
        <v>9296.9042234098</v>
      </c>
      <c r="G58" t="n">
        <v>50839.0698955696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291439.0038686465</v>
      </c>
      <c r="N58" t="inlineStr">
        <is>
          <t>Pending</t>
        </is>
      </c>
    </row>
    <row r="59">
      <c r="A59" t="n">
        <v>58</v>
      </c>
      <c r="B59" s="67" t="n">
        <v>47827</v>
      </c>
      <c r="C59" s="67" t="n">
        <v>47858</v>
      </c>
      <c r="D59" t="n">
        <v>31</v>
      </c>
      <c r="E59" t="n">
        <v>240599.9339730768</v>
      </c>
      <c r="F59" t="n">
        <v>8204.4577484819</v>
      </c>
      <c r="G59" t="n">
        <v>52059.7256379283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240599.9339730768</v>
      </c>
      <c r="N59" t="inlineStr">
        <is>
          <t>Pending</t>
        </is>
      </c>
    </row>
    <row r="60">
      <c r="A60" t="n">
        <v>59</v>
      </c>
      <c r="B60" s="67" t="n">
        <v>47858</v>
      </c>
      <c r="C60" s="67" t="n">
        <v>47889</v>
      </c>
      <c r="D60" t="n">
        <v>31</v>
      </c>
      <c r="E60" t="n">
        <v>188540.2083351485</v>
      </c>
      <c r="F60" t="n">
        <v>6429.2211042286</v>
      </c>
      <c r="G60" t="n">
        <v>53834.9622821816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188540.2083351485</v>
      </c>
      <c r="N60" t="inlineStr">
        <is>
          <t>Pending</t>
        </is>
      </c>
    </row>
    <row r="61">
      <c r="A61" t="n">
        <v>60</v>
      </c>
      <c r="B61" s="67" t="n">
        <v>47889</v>
      </c>
      <c r="C61" s="67" t="n">
        <v>47917</v>
      </c>
      <c r="D61" t="n">
        <v>28</v>
      </c>
      <c r="E61" t="n">
        <v>134705.2460529669</v>
      </c>
      <c r="F61" t="n">
        <v>4148.9215784314</v>
      </c>
      <c r="G61" t="n">
        <v>76428.30631173329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134705.2460529669</v>
      </c>
      <c r="N61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2026-04-17T11:16:03Z</dcterms:created>
  <dcterms:modified xsi:type="dcterms:W3CDTF">2026-04-17T15:35:35Z</dcterms:modified>
</cp:coreProperties>
</file>
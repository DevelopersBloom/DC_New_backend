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\\host.lan\Data\files\tasks\877e34e4-d1ad-449a-b018-201f3720eb83\"/>
    </mc:Choice>
  </mc:AlternateContent>
  <xr:revisionPtr revIDLastSave="0" documentId="8_{F84A339C-766D-4687-BFAD-9155DC162E78}" xr6:coauthVersionLast="47" xr6:coauthVersionMax="47" xr10:uidLastSave="{00000000-0000-0000-0000-000000000000}"/>
  <workbookProtection workbookPassword="C085" lockStructure="1"/>
  <bookViews>
    <workbookView xWindow="-120" yWindow="-120" windowWidth="19440" windowHeight="10440" tabRatio="601"/>
  </bookViews>
  <sheets>
    <sheet name="Sheet1" sheetId="4" r:id="rId1"/>
    <sheet name="Sheet2" sheetId="1" r:id="rId2"/>
    <sheet name="Sheet3" sheetId="2" r:id="rId3"/>
    <sheet name="Sheet4" sheetId="6" r:id="rId4"/>
    <sheet name="Sheet5" sheetId="7" r:id="rId5"/>
    <sheet name="Sheet6" sheetId="9" r:id="rId6"/>
    <sheet name="Sheet7" sheetId="10" r:id="rId7"/>
  </sheets>
  <definedNames>
    <definedName name="Company">Sheet1!$D$10</definedName>
    <definedName name="CurrCode_ref">Sheet7!$R$6:$R$184</definedName>
    <definedName name="Date1">Sheet1!$D$11</definedName>
    <definedName name="Date2">Sheet1!$F$11</definedName>
    <definedName name="Loan_ref" localSheetId="6">Sheet7!$Q$6:$Q$9</definedName>
    <definedName name="LTV_ref">Sheet7!$T$6:$T$22</definedName>
    <definedName name="Name">Sheet1!$B$8</definedName>
    <definedName name="Norm_ref">Sheet7!$S$6:$S$7</definedName>
    <definedName name="x13V3_AmSinglBorR">Sheet1!$D$15</definedName>
    <definedName name="x13V3_MagnN3">Sheet1!$C$32</definedName>
    <definedName name="xV3_AddCapDedInc">Sheet2!$F$8</definedName>
    <definedName name="xV3_AddCapDedNotInc">Sheet2!$G$8</definedName>
    <definedName name="xV3_Cur_DailyVar">Sheet6!$B$9</definedName>
    <definedName name="xV3_Cur_Gold">Sheet5!$D$7</definedName>
    <definedName name="xV3_Cur_Long">Sheet5!$B$7</definedName>
    <definedName name="xV3_Cur_MaxPos">Sheet5!$E$7</definedName>
    <definedName name="xV3_Cur_RiskSt">Sheet5!$F$7</definedName>
    <definedName name="xV3_Cur_Short">Sheet5!$C$7</definedName>
    <definedName name="xV3_FixCapAmDed">Sheet2!$E$8</definedName>
    <definedName name="xV3_GrAddCap">Sheet2!$C$8</definedName>
    <definedName name="xV3_GrFixCap">Sheet2!$B$8</definedName>
    <definedName name="xV3_GrTotCap">Sheet2!$D$8</definedName>
    <definedName name="xV3_LTV_Loan_Curr">Sheet7!$C$5</definedName>
    <definedName name="xV3_LTV_Loan_N5">Sheet7!$D$5</definedName>
    <definedName name="xV3_LTV_Loan_Qt">Sheet7!$G$5</definedName>
    <definedName name="xV3_LTV_Loan_Ratio">Sheet7!$E$5</definedName>
    <definedName name="xV3_LTV_Loan_Sum">Sheet7!$F$5</definedName>
    <definedName name="xV3_LTV_Loan_Type">Sheet7!$B$5</definedName>
    <definedName name="xV3_NormAddCap">Sheet2!$J$8</definedName>
    <definedName name="xV3_NormFixCap">Sheet2!$H$8</definedName>
    <definedName name="xV3_NormGrAddCap">Sheet2!$I$8</definedName>
    <definedName name="xV3_NormTotCap">Sheet2!$K$8</definedName>
    <definedName name="xV3_RWA_OffBal">Sheet4!$Z$7</definedName>
    <definedName name="xV3_RWA_OffBalAss_R000">Sheet4!$B$7</definedName>
    <definedName name="xV3_RWA_OffBalAss_R010">Sheet4!$D$7</definedName>
    <definedName name="xV3_RWA_OffBalAss_R020">Sheet4!$F$7</definedName>
    <definedName name="xV3_RWA_OffBalAss_R030">Sheet4!$H$7</definedName>
    <definedName name="xV3_RWA_OffBalAss_R050">Sheet4!$J$7</definedName>
    <definedName name="xV3_RWA_OffBalAss_R075">Sheet4!$L$7</definedName>
    <definedName name="xV3_RWA_OffBalAss_R085">Sheet4!$N$7</definedName>
    <definedName name="xV3_RWA_OffBalAss_R100">Sheet4!$P$7</definedName>
    <definedName name="xV3_RWA_OffBalAss_R110">Sheet4!$R$7</definedName>
    <definedName name="xV3_RWA_OffBalAss_R125">Sheet4!$T$7</definedName>
    <definedName name="xV3_RWA_OffBalAss_R150">Sheet4!$V$7</definedName>
    <definedName name="xV3_RWA_OffBalAss_R225">Sheet4!$X$7</definedName>
    <definedName name="xV3_RWA_OffBalAss000Res">Sheet4!$C$7</definedName>
    <definedName name="xV3_RWA_OffBalAss010Res">Sheet4!$E$7</definedName>
    <definedName name="xV3_RWA_OffBalAss020Res">Sheet4!$G$7</definedName>
    <definedName name="xV3_RWA_OffBalAss030Res">Sheet4!$I$7</definedName>
    <definedName name="xV3_RWA_OffBalAss050Res">Sheet4!$K$7</definedName>
    <definedName name="xV3_RWA_OffBalAss075Res">Sheet4!$M$7</definedName>
    <definedName name="xV3_RWA_OffBalAss085Res">Sheet4!$O$7</definedName>
    <definedName name="xV3_RWA_OffBalAss100Res">Sheet4!$Q$7</definedName>
    <definedName name="xV3_RWA_OffBalAss110Res">Sheet4!$S$7</definedName>
    <definedName name="xV3_RWA_OffBalAss125Res">Sheet4!$U$7</definedName>
    <definedName name="xV3_RWA_OffBalAss150Res">Sheet4!$W$7</definedName>
    <definedName name="xV3_RWA_OffBalAss225Res">Sheet4!$Y$7</definedName>
    <definedName name="xV3_RWA_R000">Sheet3!$B$7</definedName>
    <definedName name="xV3_RWA_R010">Sheet3!$D$7</definedName>
    <definedName name="xV3_RWA_R020">Sheet3!$F$7</definedName>
    <definedName name="xV3_RWA_R030">Sheet3!$H$7</definedName>
    <definedName name="xV3_RWA_R050">Sheet3!$J$7</definedName>
    <definedName name="xV3_RWA_R075">Sheet3!$L$7</definedName>
    <definedName name="xV3_RWA_R085">Sheet3!$N$7</definedName>
    <definedName name="xV3_RWA_R100">Sheet3!$P$7</definedName>
    <definedName name="xV3_RWA_R110">Sheet3!$R$7</definedName>
    <definedName name="xV3_RWA_R125">Sheet3!$T$7</definedName>
    <definedName name="xV3_RWA_R150">Sheet3!$V$7</definedName>
    <definedName name="xV3_RWA_R225">Sheet3!$X$7</definedName>
    <definedName name="xV3_RWA_TotAss">Sheet3!$Z$7</definedName>
    <definedName name="xV3_RWA000Acc">Sheet3!$C$7</definedName>
    <definedName name="xV3_RWA010Acc">Sheet3!$E$7</definedName>
    <definedName name="xV3_RWA020Acc">Sheet3!$G$7</definedName>
    <definedName name="xV3_RWA030Acc">Sheet3!$I$7</definedName>
    <definedName name="xV3_RWA050Acc">Sheet3!$K$7</definedName>
    <definedName name="xV3_RWA075Acc">Sheet3!$M$7</definedName>
    <definedName name="xV3_RWA085Acc">Sheet3!$O$7</definedName>
    <definedName name="xV3_RWA100Acc">Sheet3!$Q$7</definedName>
    <definedName name="xV3_RWA110Acc">Sheet3!$S$7</definedName>
    <definedName name="xV3_RWA125Acc">Sheet3!$U$7</definedName>
    <definedName name="xV3_RWA150Acc">Sheet3!$W$7</definedName>
    <definedName name="xV3_RWA225Acc">Sheet3!$Y$7</definedName>
    <definedName name="yV3_Acc_Dev_AMD">Sheet1!$F$49</definedName>
    <definedName name="yV3_Acc_Dev_Curr">Sheet1!$F$50</definedName>
    <definedName name="yV3_Cur_10DayVar">Sheet6!$C$10</definedName>
    <definedName name="yV3_Cur_ExcDaysVar">Sheet6!$D$10</definedName>
    <definedName name="yV3_Cur_G">Sheet6!$E$10</definedName>
    <definedName name="yV3_Cur_Risk">Sheet6!$F$10</definedName>
    <definedName name="yV3_Fact_Dev_AMD">Sheet1!$E$49</definedName>
    <definedName name="yV3_Fact_Dev_Curr">Sheet1!$E$50</definedName>
    <definedName name="yV3_FactQt_UnstL_AMD">Sheet1!$D$49</definedName>
    <definedName name="yV3_FactQt_UnstL_Curr">Sheet1!$D$50</definedName>
    <definedName name="yV3_MagnN11">Sheet1!$B$33</definedName>
    <definedName name="yV3_PrevAvg_AMD">Sheet1!$C$49</definedName>
    <definedName name="yV3_PrevAvg_Curr">Sheet1!$C$50</definedName>
    <definedName name="yV3_Ratio">Sheet1!$E$16</definedName>
    <definedName name="yV3_RWA">Sheet1!$C$16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9" i="6" l="1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B39" i="6"/>
  <c r="Y39" i="2"/>
  <c r="Z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B39" i="2"/>
  <c r="Z38" i="6"/>
  <c r="Z28" i="6"/>
  <c r="Z8" i="6"/>
  <c r="Z37" i="6"/>
  <c r="Z36" i="6"/>
  <c r="Z35" i="6"/>
  <c r="Z34" i="6"/>
  <c r="Z33" i="6"/>
  <c r="Z32" i="6"/>
  <c r="Z31" i="6"/>
  <c r="Z30" i="6"/>
  <c r="Z29" i="6"/>
  <c r="Z27" i="6"/>
  <c r="Z26" i="6"/>
  <c r="Z25" i="6"/>
  <c r="Z24" i="6"/>
  <c r="Z23" i="6"/>
  <c r="Z22" i="6"/>
  <c r="Z21" i="6"/>
  <c r="Z20" i="6"/>
  <c r="Z19" i="6"/>
  <c r="Z18" i="6"/>
  <c r="Z17" i="6"/>
  <c r="Z16" i="6"/>
  <c r="Z15" i="6"/>
  <c r="Z14" i="6"/>
  <c r="Z13" i="6"/>
  <c r="Z12" i="6"/>
  <c r="Z11" i="6"/>
  <c r="Z10" i="6"/>
  <c r="Z9" i="6"/>
  <c r="Z8" i="2"/>
  <c r="Z12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1" i="2"/>
  <c r="Z10" i="2"/>
  <c r="Z9" i="2"/>
  <c r="E49" i="4"/>
  <c r="E50" i="4"/>
  <c r="G40" i="1"/>
  <c r="F40" i="1"/>
  <c r="E40" i="1"/>
  <c r="C40" i="1"/>
  <c r="B40" i="1"/>
  <c r="E3" i="1"/>
  <c r="E10" i="9"/>
  <c r="B41" i="9"/>
  <c r="F10" i="9"/>
  <c r="C10" i="9"/>
  <c r="E9" i="7"/>
  <c r="F9" i="7"/>
  <c r="E10" i="7"/>
  <c r="F10" i="7"/>
  <c r="E11" i="7"/>
  <c r="F11" i="7"/>
  <c r="E12" i="7"/>
  <c r="F12" i="7"/>
  <c r="E13" i="7"/>
  <c r="F13" i="7"/>
  <c r="E14" i="7"/>
  <c r="F14" i="7"/>
  <c r="E15" i="7"/>
  <c r="F15" i="7"/>
  <c r="E16" i="7"/>
  <c r="F16" i="7"/>
  <c r="E17" i="7"/>
  <c r="F17" i="7"/>
  <c r="E18" i="7"/>
  <c r="F18" i="7"/>
  <c r="E19" i="7"/>
  <c r="F19" i="7"/>
  <c r="E20" i="7"/>
  <c r="F20" i="7"/>
  <c r="E21" i="7"/>
  <c r="F21" i="7"/>
  <c r="E22" i="7"/>
  <c r="F22" i="7"/>
  <c r="E23" i="7"/>
  <c r="F23" i="7"/>
  <c r="E24" i="7"/>
  <c r="F24" i="7"/>
  <c r="E25" i="7"/>
  <c r="F25" i="7"/>
  <c r="E26" i="7"/>
  <c r="F26" i="7"/>
  <c r="E27" i="7"/>
  <c r="F27" i="7"/>
  <c r="E28" i="7"/>
  <c r="F28" i="7"/>
  <c r="E29" i="7"/>
  <c r="F29" i="7"/>
  <c r="E30" i="7"/>
  <c r="F30" i="7"/>
  <c r="E31" i="7"/>
  <c r="F31" i="7"/>
  <c r="E32" i="7"/>
  <c r="F32" i="7"/>
  <c r="E33" i="7"/>
  <c r="F33" i="7"/>
  <c r="E34" i="7"/>
  <c r="F34" i="7"/>
  <c r="E35" i="7"/>
  <c r="F35" i="7"/>
  <c r="E36" i="7"/>
  <c r="F36" i="7"/>
  <c r="E37" i="7"/>
  <c r="F37" i="7"/>
  <c r="E38" i="7"/>
  <c r="F38" i="7"/>
  <c r="E8" i="7"/>
  <c r="F8" i="7"/>
  <c r="F39" i="7"/>
  <c r="K39" i="1"/>
  <c r="K35" i="1"/>
  <c r="K29" i="1"/>
  <c r="H10" i="1"/>
  <c r="I10" i="1"/>
  <c r="J10" i="1"/>
  <c r="H9" i="1"/>
  <c r="H40" i="1"/>
  <c r="I9" i="1"/>
  <c r="I40" i="1"/>
  <c r="K9" i="1"/>
  <c r="H11" i="1"/>
  <c r="I11" i="1"/>
  <c r="J11" i="1"/>
  <c r="H12" i="1"/>
  <c r="I12" i="1"/>
  <c r="H13" i="1"/>
  <c r="I13" i="1"/>
  <c r="J13" i="1"/>
  <c r="H14" i="1"/>
  <c r="I14" i="1"/>
  <c r="J14" i="1"/>
  <c r="H15" i="1"/>
  <c r="I15" i="1"/>
  <c r="H16" i="1"/>
  <c r="I16" i="1"/>
  <c r="J16" i="1"/>
  <c r="H17" i="1"/>
  <c r="I17" i="1"/>
  <c r="J17" i="1"/>
  <c r="H18" i="1"/>
  <c r="I18" i="1"/>
  <c r="H19" i="1"/>
  <c r="I19" i="1"/>
  <c r="J19" i="1"/>
  <c r="H20" i="1"/>
  <c r="K20" i="1"/>
  <c r="I20" i="1"/>
  <c r="J20" i="1"/>
  <c r="H21" i="1"/>
  <c r="I21" i="1"/>
  <c r="J21" i="1"/>
  <c r="K21" i="1"/>
  <c r="H22" i="1"/>
  <c r="I22" i="1"/>
  <c r="J22" i="1"/>
  <c r="H23" i="1"/>
  <c r="I23" i="1"/>
  <c r="J23" i="1"/>
  <c r="K23" i="1"/>
  <c r="H24" i="1"/>
  <c r="I24" i="1"/>
  <c r="J24" i="1"/>
  <c r="H25" i="1"/>
  <c r="I25" i="1"/>
  <c r="H26" i="1"/>
  <c r="I26" i="1"/>
  <c r="J26" i="1"/>
  <c r="H27" i="1"/>
  <c r="K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D9" i="1"/>
  <c r="D10" i="1"/>
  <c r="D11" i="1"/>
  <c r="D12" i="1"/>
  <c r="D13" i="1"/>
  <c r="D14" i="1"/>
  <c r="D15" i="1"/>
  <c r="D16" i="1"/>
  <c r="D17" i="1"/>
  <c r="D40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C3" i="1"/>
  <c r="K11" i="1"/>
  <c r="K14" i="1"/>
  <c r="K32" i="1"/>
  <c r="K25" i="1"/>
  <c r="K10" i="1"/>
  <c r="K40" i="1"/>
  <c r="B16" i="4"/>
  <c r="K31" i="1"/>
  <c r="K24" i="1"/>
  <c r="K33" i="1"/>
  <c r="K30" i="1"/>
  <c r="K26" i="1"/>
  <c r="K17" i="1"/>
  <c r="J25" i="1"/>
  <c r="J15" i="1"/>
  <c r="K15" i="1"/>
  <c r="J12" i="1"/>
  <c r="K12" i="1"/>
  <c r="K34" i="1"/>
  <c r="J18" i="1"/>
  <c r="K18" i="1"/>
  <c r="K13" i="1"/>
  <c r="K22" i="1"/>
  <c r="K28" i="1"/>
  <c r="K16" i="1"/>
  <c r="K19" i="1"/>
  <c r="C16" i="4"/>
  <c r="B33" i="4"/>
  <c r="J9" i="1"/>
  <c r="J40" i="1"/>
  <c r="C38" i="4"/>
  <c r="C35" i="4"/>
  <c r="C45" i="4"/>
  <c r="C33" i="4"/>
  <c r="C39" i="4"/>
  <c r="C43" i="4"/>
  <c r="C36" i="4"/>
  <c r="C37" i="4"/>
  <c r="C41" i="4"/>
  <c r="C44" i="4"/>
  <c r="C40" i="4"/>
  <c r="C42" i="4"/>
  <c r="C34" i="4"/>
</calcChain>
</file>

<file path=xl/sharedStrings.xml><?xml version="1.0" encoding="utf-8"?>
<sst xmlns="http://schemas.openxmlformats.org/spreadsheetml/2006/main" count="346" uniqueCount="308">
  <si>
    <t>ÜáñÙ³ïÇíÝ»ñÇ Ñ³ßí³ñÏÇ Ù»ç ÁÝ¹·ñÏíáÕ ÙÇçÇÝ óáõó³ÝÇßÝ»ñÇ Ñ³ßí³ñÏÁ</t>
  </si>
  <si>
    <t>²Ùë³ÃÇíÁ</t>
  </si>
  <si>
    <t>Ã. -Çó ÙÇÝã¨</t>
  </si>
  <si>
    <t>Ã.</t>
  </si>
  <si>
    <t>(Ñ³½. ¹ñ³Ù)</t>
  </si>
  <si>
    <t>ÜáñÙ³ïÇíÝ»ñÇ Ñ³ßí³ñÏÇÝ Ù³ëÝ³ÏóáÕ</t>
  </si>
  <si>
    <t>²Ùëí³ ûñ»ñÁ</t>
  </si>
  <si>
    <t>ÐÇÙÝ³Ï³Ý  Ï³åÇï³É</t>
  </si>
  <si>
    <t>Èñ³óáõóÇã Ï³åÇï³É</t>
  </si>
  <si>
    <t>ÀÝ¹Ñ³Ýáõñ Ï³åÇï³É</t>
  </si>
  <si>
    <t>ØÇçÇÝ</t>
  </si>
  <si>
    <t>(ß³ñáõÝ³ÏáõÃÛáõÝ)</t>
  </si>
  <si>
    <t>èÇëÏáí Ïßéí³Í ³ÏïÇíÝ»ñÇ Ñ³ßí³ñÏÝ Áëï ûñ»ñÇ</t>
  </si>
  <si>
    <t>èÇëÏÇ 0 % ÏßÇé</t>
  </si>
  <si>
    <t>èÇëÏÇ 10 % ÏßÇé</t>
  </si>
  <si>
    <t>èÇëÏÇ 20 % ÏßÇé</t>
  </si>
  <si>
    <t>èÇëÏÇ 50 % ÏßÇé</t>
  </si>
  <si>
    <t>èÇëÏÇ 100 % ÏßÇé</t>
  </si>
  <si>
    <t xml:space="preserve">ÀÝ¹Ñ³Ýáõñ Ï³åÇï³É </t>
  </si>
  <si>
    <t>Ø»Ï ÷áË³éáõÇ ·Íáí  éÇëÏÇ ·áõÙ³ñÁ</t>
  </si>
  <si>
    <t>Î.î.</t>
  </si>
  <si>
    <t>(·áñÍ³¹Çñ ïÝûñ»Ý)</t>
  </si>
  <si>
    <t>ÐÇÙÝ³Ï³Ý Ï³åÇï³É (1-4)</t>
  </si>
  <si>
    <t>Èñ³óáõóÇã Ï³åÇï³É (áã ³í»ÉÇ, ù³Ý ÑÇÙÝ³Ï³Ý Ï³åÇï³ÉÇ 50%)</t>
  </si>
  <si>
    <t>ì³ñÏ³ÛÇÝ Ï³½Ù³Ï»ñåáõÃÛ³Ý ³Ýí³ÝáõÙÁ</t>
  </si>
  <si>
    <t>Ò¨ ÃÇí 3</t>
  </si>
  <si>
    <t>Ð²ÞìºîìàôÂÚàôÜ</t>
  </si>
  <si>
    <t>èÇëÏáí Ïßéí³Í ³ÏïÇíÝ»ñ</t>
  </si>
  <si>
    <t>(1/2)</t>
  </si>
  <si>
    <t>ÜáñÙ³ïÇí³ÛÇÝ Éñ³óáõóÇã Ï³åÇï³ÉÇ Ñ³ßí³ñÏÇÝ Ù³ëÝ³ÏóáÕ ·áõÙ³ñÝ»ñ</t>
  </si>
  <si>
    <t>ÀÝ¹·ñÏíáÕ ·áõÙ³ñÝ»ñ</t>
  </si>
  <si>
    <t>âÁÝ¹·ñÏíáÕ ·áõÙ³ñÝ»ñ</t>
  </si>
  <si>
    <t>Èñ³óáõóÇã Ï³åÇï³É (2+5-6)</t>
  </si>
  <si>
    <t>²ÏïÇíÇ ÑÝ³ñ³íáñ ÏáñáõëïÇ Ù³ëÑ³ÝáõÙ</t>
  </si>
  <si>
    <t>Ð»ïÑ³ßí»Ïßé³ÛÇÝ å³ÛÙ³Ý³Ï³Ý å³ñï³íáñáõÃÛáõÝÝ»ñ ¨ ³Ý³í³ñï Å³ÙÏ»ï³ÛÇÝ ·áñÍ³éÝáõÃÛáõÝÝ»ñ (Ñ»ïÑ³ßí»Ïßé³ÛÇÝ Ñá¹í³Í) Áëï éÇëÏÇ ÏßÇéÝ»ñÇ, ¹ñ³Ýó Ñ³Ù³å³ï³ëË³Ý å³ÑáõëïÝ»ñ</t>
  </si>
  <si>
    <t>èÇëÏÇ 0% ÏßÇé</t>
  </si>
  <si>
    <t>ä³Ñáõëï</t>
  </si>
  <si>
    <t>èÇëÏÇ 10% ÏßÇé</t>
  </si>
  <si>
    <t>èÇëÏÇ 20% ÏßÇé</t>
  </si>
  <si>
    <t>èÇëÏÇ 50% ÏßÇé</t>
  </si>
  <si>
    <t>èÇëÏÇ 100% ÏßÇé</t>
  </si>
  <si>
    <t>ÀÝ¹Ñ³Ýáõñ Ï³åÇï³É (7+9)</t>
  </si>
  <si>
    <t>Ð³ßí»Ïßé³ÛÇÝ Ñá¹í³ÍÝ»ñ Áëï éÇëÏ»ñÇ, ¹ñ³Ýó Ñ³Ù³å³ï³ëË³Ý ³ÏïÇíÝ»ñÇ ÑÝ³ñ³íáñ ÏáñáõëïÝ»ñÇ Ù³ëÑ³ÝáõÙÝ»ñ</t>
  </si>
  <si>
    <t xml:space="preserve">     ¶ÉË³íáñ Ñ³ßí³å³Ñ</t>
  </si>
  <si>
    <t>ÜáñÙ³ïÇí³ÛÇÝ Ï³åÇï³ÉÇ Ñ³ßí³ñÏÇ Ñ³Ù³ñ ³ÝÑñ³Å»ßï ÑÇÙÝ³Ï³Ý Ï³åÇï³ÉÇó å³Ï³ë»óíáÕ ·áõÙ³ñÝ»ñ</t>
  </si>
  <si>
    <t>ÐÇÙÝ³Ï³Ý ïÝï»ë³Ï³Ý ÝáñÙ³ïÇíÝ»ñÇ í»ñ³µ»ñÛ³É</t>
  </si>
  <si>
    <r>
      <t>Ü</t>
    </r>
    <r>
      <rPr>
        <vertAlign val="subscript"/>
        <sz val="9"/>
        <rFont val="Arial Armenian"/>
        <family val="2"/>
      </rPr>
      <t>3</t>
    </r>
    <r>
      <rPr>
        <sz val="9"/>
        <rFont val="Arial Armenian"/>
        <family val="2"/>
      </rPr>
      <t xml:space="preserve"> ÝáñÙ³ïÇíÇ Ù»ÍáõÃÛáõÝÁ</t>
    </r>
  </si>
  <si>
    <t>ÀÝ¹Ñ³Ýáõñ Ï³åÇï³ÉÇ ¨ Ýñ³ ï³ññ»ñÇ Ñ³ßí³ñÏÝ Áëï ûñ»ñÇ</t>
  </si>
  <si>
    <t>(3/1)</t>
  </si>
  <si>
    <t xml:space="preserve">     ì³ñÏ³ÛÇÝ Ï³½Ù³Ï»ñåáõÃÛ³Ý í³ñãáõÃÛ³Ý Ý³Ë³·³Ñ</t>
  </si>
  <si>
    <t>Ð²ìºÈì²Ì 2</t>
  </si>
  <si>
    <t>§ì³ñÏ³ÛÇÝ Ï³½Ù³Ï»ñåáõÃÛáõÝÝ»ñÇ Ñ³ßí»ïíáõÃÛáõÝÝ»ñÁ,   ¹ñ³Ýó Ý»ñÏ³Û³óáõÙÁ ¨ Ññ³å³ñ³ÏáõÙÁ¦ Ï³ÝáÝ³Ï³ñ· 15-Ç</t>
  </si>
  <si>
    <t>¶áñÍ³ÏÇó</t>
  </si>
  <si>
    <t>Ü1 ÝáñÙ³ïÇíÇ Ù»ÍáõÃÛáõÝÁ</t>
  </si>
  <si>
    <t>ÜáñÙ³ïÇíÝ»ñÇ Ñ³ßí³ñÏÇ Ù»ç ÁÝ¹·ñÏíáÕ ÙÇçÇÝ óáõó³ÝÇßÝ»ñÇ Ñ³ßí³ñÏÁ (ß³ñáõÝ³ÏáõÃÛáõÝ)</t>
  </si>
  <si>
    <t>²ñï³ñÅáõÃ³ÛÇÝ éÇëÏÇ Ñ³ßí³ñÏ (êï³Ý¹³ñï  Ù»Ãá¹³µ³ÝáõÃÛáõÝ)</t>
  </si>
  <si>
    <t xml:space="preserve">²ñï³ñÅáõÃ³ÛÇÝ »ñÏ³ñ ¹Çñù»ñÇ Ñ³Ýñ³·áõÙ³ñ      </t>
  </si>
  <si>
    <t xml:space="preserve">²ñï³ñÅáõÃ³ÛÇÝ Ï³ñ× ¹Çñù»ñÇ Ñ³Ýñ³·áõÙ³ñ (µ³ó³ñÓ³Ï Ù»ÍáõÃÛ³Ùµ)           </t>
  </si>
  <si>
    <t>Â³ÝÏ³ñÅ»ù Ù»ï³ÕÝ»ñÇ µ³ÝÏ³ÛÇÝ ëï³Ý¹³ñï³óí³Í ÓáõÉ³ÏïáñÝ»ñÇ µ³ó ¹Çñù»ñÇ µ³ó³ñÓ³Ï Ù»ÍáõÃÛáõÝÝ»ñÇ  Ñ³Ýñ³·áõÙ³ñ</t>
  </si>
  <si>
    <t xml:space="preserve">²ñï³ñÅáõÃ³ÛÇÝ ³é³í»É³·áõÛÝ ¹ÇñùÁ   </t>
  </si>
  <si>
    <t>²ñï³ñÅáõÃ³ÛÇÝ éÇëÏ                                    (4) * 12%</t>
  </si>
  <si>
    <t>²é³í»É³·áõÛÝ</t>
  </si>
  <si>
    <t>²ñï³ñÅáõÃ³ÛÇÝ éÇëÏÇ Ñ³ßí³ñÏ (ì³è Ù»Ãá¹³µ³ÝáõÃÛáõÝ)</t>
  </si>
  <si>
    <t>úñ³Ï³Ý ì³è</t>
  </si>
  <si>
    <t>î³ëÝûñÛ³ ì³è</t>
  </si>
  <si>
    <t>¶»ñ³½³ÝóáÕ ûñ»ñÇ ù³Ý³ÏÁ</t>
  </si>
  <si>
    <t>¶</t>
  </si>
  <si>
    <t>²ñï³ñÅáõÃ³ÛÇÝ éÇëÏ</t>
  </si>
  <si>
    <t>¿ç 6</t>
  </si>
  <si>
    <t>èÇëÏÇ 30 % ÏßÇé</t>
  </si>
  <si>
    <t>èÇëÏÇ 75 % ÏßÇé</t>
  </si>
  <si>
    <t>èÇëÏÇ 110 % ÏßÇé</t>
  </si>
  <si>
    <t>èÇëÏÇ 150 % ÏßÇé</t>
  </si>
  <si>
    <t>èÇëÏÇ 225 % ÏßÇé</t>
  </si>
  <si>
    <t>èÇëÏÇ 30% ÏßÇé</t>
  </si>
  <si>
    <t>èÇëÏÇ 75% ÏßÇé</t>
  </si>
  <si>
    <t>èÇëÏÇ 110% ÏßÇé</t>
  </si>
  <si>
    <t>èÇëÏÇ 150% ÏßÇé</t>
  </si>
  <si>
    <t>èÇëÏÇ 225% ÏßÇé</t>
  </si>
  <si>
    <r>
      <t>Ü5</t>
    </r>
    <r>
      <rPr>
        <b/>
        <vertAlign val="superscript"/>
        <sz val="9"/>
        <rFont val="Times Armenian"/>
        <family val="1"/>
      </rPr>
      <t>1</t>
    </r>
    <r>
      <rPr>
        <b/>
        <sz val="9"/>
        <rFont val="Times Armenian"/>
        <family val="1"/>
      </rPr>
      <t xml:space="preserve"> ¨ Ü5</t>
    </r>
    <r>
      <rPr>
        <b/>
        <vertAlign val="superscript"/>
        <sz val="9"/>
        <rFont val="Times Armenian"/>
        <family val="1"/>
      </rPr>
      <t>2</t>
    </r>
    <r>
      <rPr>
        <b/>
        <sz val="9"/>
        <rFont val="Times Armenian"/>
        <family val="1"/>
      </rPr>
      <t xml:space="preserve">  ÝáñÙ³ïÇíÝ»ñ</t>
    </r>
  </si>
  <si>
    <t>²ñÅáõÛÃ</t>
  </si>
  <si>
    <t>Ü³Ëáñ¹ »ñÏáõ »é³ÙëÛ³ÏÝ»ñÇ ÙÇçÇÝ</t>
  </si>
  <si>
    <r>
      <t>ºé³ÙëÛ³ÏÇ ÁÝÃ³óùáõÙ ÷³ëï³óÇ ïñ³Ù³¹ñí³Í ¨ Ü5</t>
    </r>
    <r>
      <rPr>
        <vertAlign val="superscript"/>
        <sz val="9"/>
        <rFont val="Times Armenian"/>
        <family val="1"/>
      </rPr>
      <t>1</t>
    </r>
    <r>
      <rPr>
        <sz val="9"/>
        <rFont val="Times Armenian"/>
        <family val="1"/>
      </rPr>
      <t>, Ü5</t>
    </r>
    <r>
      <rPr>
        <vertAlign val="superscript"/>
        <sz val="9"/>
        <rFont val="Times Armenian"/>
        <family val="1"/>
      </rPr>
      <t>2</t>
    </r>
    <r>
      <rPr>
        <sz val="9"/>
        <rFont val="Times Armenian"/>
        <family val="1"/>
      </rPr>
      <t xml:space="preserve"> ÝáñÙ³ïÇíÝ»ñÇÝ ãµ³í³ñ³ñáÕ í³ñÏ»ñ</t>
    </r>
  </si>
  <si>
    <t>ö³ëï³óÇ ß»ÕáõÙ</t>
  </si>
  <si>
    <t>ÂáõÛÉ³ïñ»ÉÇ ß»ÕáõÙ</t>
  </si>
  <si>
    <t>ÐÐ ¹ñ³Ù</t>
  </si>
  <si>
    <t>²ñï³ñÅáõÛÃ</t>
  </si>
  <si>
    <r>
      <t>Ü5</t>
    </r>
    <r>
      <rPr>
        <vertAlign val="superscript"/>
        <sz val="12"/>
        <rFont val="Times Armenian"/>
        <family val="1"/>
      </rPr>
      <t>1</t>
    </r>
    <r>
      <rPr>
        <sz val="12"/>
        <rFont val="Times Armenian"/>
        <family val="1"/>
      </rPr>
      <t xml:space="preserve"> ¨ Ü5</t>
    </r>
    <r>
      <rPr>
        <vertAlign val="superscript"/>
        <sz val="12"/>
        <rFont val="Times Armenian"/>
        <family val="1"/>
      </rPr>
      <t>2</t>
    </r>
    <r>
      <rPr>
        <sz val="12"/>
        <rFont val="Times Armenian"/>
        <family val="1"/>
      </rPr>
      <t xml:space="preserve"> ÝáñÙ³ïÇíÝ»ñÇ Ñ³ßí³ñÏÇ Ù»ç ÁÝ¹·ñÏíáÕ óáõó³ÝÇßÝ»ñÇ í»ñ³µ»ñÛ³É</t>
    </r>
  </si>
  <si>
    <t>Ð/Ñ</t>
  </si>
  <si>
    <t>Üáñ ïñ³Ù³¹ñíáÕ í³ñÏÇ ï»ë³Ï</t>
  </si>
  <si>
    <t>Üáñ ïñ³Ù³¹ñíáÕ í³ñÏÇ ³ñÅáõÛÃ</t>
  </si>
  <si>
    <t>ÜáñÙ³ïÇíÇ ï»ë³Ï</t>
  </si>
  <si>
    <t>ä³Ñ³ÝçÇ ¨ ·ñ³íÇ ³ñÅ»ùÇ Ñ³ñ³µ»ñ³Ïóáõ-ÃÛáõÝ</t>
  </si>
  <si>
    <t>Üáñ ïñ³Ù³¹ñíáÕ í³ñÏÇ Ù³Ûñ ·áõÙ³ñ</t>
  </si>
  <si>
    <t>ø³Ý³Ï</t>
  </si>
  <si>
    <t>Ò»éùµ»ñÙ³Ý í³ñÏ</t>
  </si>
  <si>
    <t>Î³éáõóÙ³Ý/í»ñ³Ï³éáõóÙ³Ý í³ñÏ</t>
  </si>
  <si>
    <t>ì»ñ³Ýáñá·Ù³Ý í³ñÏ</t>
  </si>
  <si>
    <t>²Ýß³ñÅ ·áõÛùáí ³å³Ñáíí³Í ³ÛÉ í³ñÏ</t>
  </si>
  <si>
    <t>Loan_ref</t>
  </si>
  <si>
    <t>CurrCode_ref</t>
  </si>
  <si>
    <t>Norm_ref</t>
  </si>
  <si>
    <t>LTV_ref</t>
  </si>
  <si>
    <t>AED</t>
  </si>
  <si>
    <t>[0%-10%]</t>
  </si>
  <si>
    <t>AFN</t>
  </si>
  <si>
    <t>(10%-20%]</t>
  </si>
  <si>
    <t>ALL</t>
  </si>
  <si>
    <t>(20%-30%]</t>
  </si>
  <si>
    <t>AMD</t>
  </si>
  <si>
    <t>(30%-40%]</t>
  </si>
  <si>
    <t>ANG</t>
  </si>
  <si>
    <t>(40%-50%]</t>
  </si>
  <si>
    <t>AOA</t>
  </si>
  <si>
    <t>(50%-60%]</t>
  </si>
  <si>
    <t>ARS</t>
  </si>
  <si>
    <t>(60%-65%]</t>
  </si>
  <si>
    <t>AUD</t>
  </si>
  <si>
    <t>(65%-70%]</t>
  </si>
  <si>
    <t>AWG</t>
  </si>
  <si>
    <t>(70%-75%]</t>
  </si>
  <si>
    <t>AZN</t>
  </si>
  <si>
    <t>(75%-80%]</t>
  </si>
  <si>
    <t>BAM</t>
  </si>
  <si>
    <t>(80%-85%]</t>
  </si>
  <si>
    <t>BBD</t>
  </si>
  <si>
    <t>(85%-90%]</t>
  </si>
  <si>
    <t>BDT</t>
  </si>
  <si>
    <t>(90%-95%]</t>
  </si>
  <si>
    <t>BGN</t>
  </si>
  <si>
    <t>(95%-100%]</t>
  </si>
  <si>
    <t>BHD</t>
  </si>
  <si>
    <t>(100%-120%]</t>
  </si>
  <si>
    <t>BIF</t>
  </si>
  <si>
    <t>(120%-150%]</t>
  </si>
  <si>
    <t>BMD</t>
  </si>
  <si>
    <t>&gt;150</t>
  </si>
  <si>
    <t>BND</t>
  </si>
  <si>
    <t>BOB</t>
  </si>
  <si>
    <t>BOV</t>
  </si>
  <si>
    <t>BRL</t>
  </si>
  <si>
    <t>BSD</t>
  </si>
  <si>
    <t>BTN</t>
  </si>
  <si>
    <t>BWP</t>
  </si>
  <si>
    <t>BYN</t>
  </si>
  <si>
    <t>BZD</t>
  </si>
  <si>
    <t>CAD</t>
  </si>
  <si>
    <t>CDF</t>
  </si>
  <si>
    <t>CHE</t>
  </si>
  <si>
    <t>CHF</t>
  </si>
  <si>
    <t>CHW</t>
  </si>
  <si>
    <t>CLF</t>
  </si>
  <si>
    <t>CLP</t>
  </si>
  <si>
    <t>CNY</t>
  </si>
  <si>
    <t>COP</t>
  </si>
  <si>
    <t>COU</t>
  </si>
  <si>
    <t>CRC</t>
  </si>
  <si>
    <t>CUC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</si>
  <si>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</si>
  <si>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</si>
  <si>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</si>
  <si>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</si>
  <si>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</si>
  <si>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</si>
  <si>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</si>
  <si>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</si>
  <si>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</si>
  <si>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</si>
  <si>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EUR</t>
  </si>
  <si>
    <t>FJD</t>
  </si>
  <si>
    <t>FKP</t>
  </si>
  <si>
    <t>GBP</t>
  </si>
  <si>
    <t>GEL</t>
  </si>
  <si>
    <t>GHS</t>
  </si>
  <si>
    <t>GIP</t>
  </si>
  <si>
    <t>GMD</t>
  </si>
  <si>
    <t>GNF</t>
  </si>
  <si>
    <t>GTQ</t>
  </si>
  <si>
    <t>GYD</t>
  </si>
  <si>
    <t>HKD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</si>
  <si>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</si>
  <si>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</si>
  <si>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</si>
  <si>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</si>
  <si>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</si>
  <si>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</si>
  <si>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</si>
  <si>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</si>
  <si>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</si>
  <si>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</si>
  <si>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</si>
  <si>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</si>
  <si>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</si>
  <si>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</si>
  <si>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</si>
  <si>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</si>
  <si>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</si>
  <si>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</si>
  <si>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</si>
  <si>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</si>
  <si>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</si>
  <si>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</si>
  <si>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</si>
  <si>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</si>
  <si>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</si>
  <si>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</si>
  <si>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</si>
  <si>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</si>
  <si>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</si>
  <si>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</si>
  <si>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</si>
  <si>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</si>
  <si>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</si>
  <si>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</si>
  <si>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</si>
  <si>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MRU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</si>
  <si>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</si>
  <si>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</si>
  <si>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</si>
  <si>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</si>
  <si>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</si>
  <si>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</si>
  <si>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</si>
  <si>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</si>
  <si>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</si>
  <si>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</si>
  <si>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</si>
  <si>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</si>
  <si>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</si>
  <si>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</si>
  <si>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</si>
  <si>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</si>
  <si>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</si>
  <si>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</si>
  <si>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</si>
  <si>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</si>
  <si>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</si>
  <si>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</si>
  <si>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</si>
  <si>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</si>
  <si>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</si>
  <si>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</si>
  <si>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</si>
  <si>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</si>
  <si>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</si>
  <si>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</si>
  <si>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</si>
  <si>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</si>
  <si>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</si>
  <si>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SLL</t>
  </si>
  <si>
    <t>SOS</t>
  </si>
  <si>
    <t>SRD</t>
  </si>
  <si>
    <t>SSP</t>
  </si>
  <si>
    <t>STN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</si>
  <si>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</si>
  <si>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</si>
  <si>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</si>
  <si>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</si>
  <si>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</si>
  <si>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</si>
  <si>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</si>
  <si>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</si>
  <si>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</si>
  <si>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</si>
  <si>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TWD</t>
  </si>
  <si>
    <t>TZS</t>
  </si>
  <si>
    <t>UAH</t>
  </si>
  <si>
    <t>UGX</t>
  </si>
  <si>
    <t>USD</t>
  </si>
  <si>
    <t>USN</t>
  </si>
  <si>
    <t>UYI</t>
  </si>
  <si>
    <t>UYU</t>
  </si>
  <si>
    <t>UYW</t>
  </si>
  <si>
    <t>UZS</t>
  </si>
  <si>
    <t>VES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</si>
  <si>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</si>
  <si>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</si>
  <si>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</si>
  <si>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</si>
  <si>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</si>
  <si>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</si>
  <si>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</si>
  <si>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</si>
  <si>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</si>
  <si>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</si>
  <si>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</si>
  <si>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</si>
  <si>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</si>
  <si>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</si>
  <si>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</si>
  <si>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</si>
  <si>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</si>
  <si>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</si>
  <si>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</si>
  <si>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</si>
  <si>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</si>
  <si>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</si>
  <si>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</si>
  <si>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</si>
  <si>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r>
      <t>Ü5</t>
    </r>
    <r>
      <rPr>
        <vertAlign val="superscript"/>
        <sz val="11"/>
        <color indexed="10"/>
        <rFont val="Times Armenian"/>
        <family val="1"/>
      </rPr>
      <t>1</t>
    </r>
  </si>
  <si>
    <r>
      <t>Ü5</t>
    </r>
    <r>
      <rPr>
        <vertAlign val="superscript"/>
        <sz val="11"/>
        <color indexed="10"/>
        <rFont val="Times Armenian"/>
        <family val="1"/>
      </rPr>
      <t>2</t>
    </r>
  </si>
  <si>
    <t>2026_June</t>
  </si>
  <si>
    <t>èÇëÏÇ 85 % ÏßÇé</t>
  </si>
  <si>
    <t>èÇëÏÇ 125 % ÏßÇé</t>
  </si>
  <si>
    <t>èÇëÏáí Ïßéí³Í ³ÏïÇíÝ»ñ [ (1-2)*0% + (3-4)*10%+(5-6)*20%+(7-8)*30%+(9-10)*50%+(11-12)*75%+(13-14)*85%+(15-16)*100%+(17-18)*110%+(19-20)*125%+(21-22)*150%+(23-24)*225%]</t>
  </si>
  <si>
    <t>èÇëÏÇ 85% ÏßÇé</t>
  </si>
  <si>
    <t>èÇëÏÇ 125% ÏßÇé</t>
  </si>
  <si>
    <t>èÇëÏáí Ïßéí³Í Ñ»ïÑ³ßí»Ïßé³ÛÇÝ Ñá¹í³ÍÝ»ñ[ (1-2)*0% + (3-4)*10%+(5-6)*20%+(7-8)*30%+(9-10)*50%+(11-12)*75%+(13-14)*85%+(15-16)*100%+(17-18)*110%+(19-20)*125%+(21-22)*150%+(23-24)*225%]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</si>
</sst>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73" formatCode="0.0%"/>
  </numFmts>
  <fonts count="28">
    <font>
      <sz val="10"/>
      <name val="Arial"/>
    </font>
    <font>
      <sz val="10"/>
      <name val="Arial"/>
    </font>
    <font>
      <sz val="9"/>
      <name val="Arial Armenian"/>
      <family val="2"/>
    </font>
    <font>
      <sz val="12"/>
      <name val="Arial Armenian"/>
      <family val="2"/>
    </font>
    <font>
      <sz val="10"/>
      <name val="Arial Armenian"/>
      <family val="2"/>
    </font>
    <font>
      <b/>
      <sz val="10"/>
      <name val="Arial Armenian"/>
      <family val="2"/>
    </font>
    <font>
      <b/>
      <sz val="10"/>
      <name val="Arial Armenian"/>
      <family val="2"/>
    </font>
    <font>
      <sz val="8"/>
      <name val="Arial Armenian"/>
      <family val="2"/>
    </font>
    <font>
      <sz val="12"/>
      <name val="Arial Armenian"/>
      <family val="2"/>
    </font>
    <font>
      <sz val="9"/>
      <name val="Times Armenian"/>
      <family val="1"/>
    </font>
    <font>
      <sz val="10"/>
      <color indexed="10"/>
      <name val="Arial Armenian"/>
      <family val="2"/>
    </font>
    <font>
      <b/>
      <sz val="11"/>
      <name val="Arial Armenian"/>
      <family val="2"/>
    </font>
    <font>
      <sz val="11"/>
      <name val="Arial Armenian"/>
      <family val="2"/>
    </font>
    <font>
      <vertAlign val="subscript"/>
      <sz val="9"/>
      <name val="Arial Armenian"/>
      <family val="2"/>
    </font>
    <font>
      <sz val="10"/>
      <name val="Arial LatArm"/>
      <family val="2"/>
    </font>
    <font>
      <sz val="10"/>
      <name val="Times Armenian"/>
      <family val="1"/>
    </font>
    <font>
      <b/>
      <sz val="9"/>
      <name val="Times Armenian"/>
      <family val="1"/>
    </font>
    <font>
      <b/>
      <vertAlign val="superscript"/>
      <sz val="9"/>
      <name val="Times Armenian"/>
      <family val="1"/>
    </font>
    <font>
      <vertAlign val="superscript"/>
      <sz val="9"/>
      <name val="Times Armenian"/>
      <family val="1"/>
    </font>
    <font>
      <sz val="12"/>
      <name val="Times Armenian"/>
      <family val="1"/>
    </font>
    <font>
      <vertAlign val="superscript"/>
      <sz val="12"/>
      <name val="Times Armenian"/>
      <family val="1"/>
    </font>
    <font>
      <vertAlign val="superscript"/>
      <sz val="11"/>
      <color indexed="10"/>
      <name val="Times Armenian"/>
      <family val="1"/>
    </font>
    <font>
      <sz val="10"/>
      <color theme="0"/>
      <name val="Arial Armenian"/>
      <family val="2"/>
    </font>
    <font>
      <sz val="11"/>
      <color theme="1"/>
      <name val="GHEA Grapalat"/>
      <family val="3"/>
    </font>
    <font>
      <sz val="10"/>
      <color rgb="FFFF0000"/>
      <name val="Arial"/>
      <family val="2"/>
    </font>
    <font>
      <sz val="10"/>
      <color rgb="FFFF0000"/>
      <name val="Times Armenian"/>
      <family val="1"/>
    </font>
    <font>
      <b/>
      <sz val="10"/>
      <color rgb="FFFF0000"/>
      <name val="Times Armenian"/>
      <family val="1"/>
    </font>
    <font>
      <sz val="11"/>
      <color rgb="FFFF0000"/>
      <name val="Times Armeni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9" fontId="1" fillId="0" borderId="0" applyFont="0" applyFill="0" applyBorder="0" applyAlignment="0" applyProtection="0"/>
  </cellStyleXfs>
  <cellXfs count="259">
    <xf numFmtId="0" fontId="0" fillId="0" borderId="0" xfId="0"/>
    <xf numFmtId="0" fontId="2" fillId="0" borderId="0" xfId="0" applyFont="1" applyFill="1" applyAlignment="1" applyProtection="1"/>
    <xf numFmtId="0" fontId="3" fillId="0" borderId="0" xfId="0" applyFont="1" applyFill="1" applyAlignment="1" applyProtection="1">
      <alignment horizontal="centerContinuous"/>
    </xf>
    <xf numFmtId="0" fontId="4" fillId="0" borderId="0" xfId="0" applyFont="1" applyFill="1" applyAlignment="1" applyProtection="1">
      <alignment horizontal="centerContinuous"/>
    </xf>
    <xf numFmtId="14" fontId="2" fillId="0" borderId="0" xfId="0" applyNumberFormat="1" applyFont="1" applyFill="1" applyBorder="1" applyAlignment="1" applyProtection="1">
      <alignment horizontal="centerContinuous"/>
    </xf>
    <xf numFmtId="0" fontId="4" fillId="0" borderId="0" xfId="0" applyFont="1" applyFill="1" applyProtection="1"/>
    <xf numFmtId="0" fontId="4" fillId="0" borderId="0" xfId="0" applyFont="1" applyProtection="1"/>
    <xf numFmtId="0" fontId="2" fillId="0" borderId="0" xfId="0" applyFont="1" applyFill="1" applyAlignment="1" applyProtection="1">
      <alignment horizontal="right"/>
    </xf>
    <xf numFmtId="14" fontId="2" fillId="0" borderId="1" xfId="0" applyNumberFormat="1" applyFont="1" applyFill="1" applyBorder="1" applyAlignment="1" applyProtection="1">
      <alignment horizontal="right"/>
    </xf>
    <xf numFmtId="0" fontId="2" fillId="0" borderId="0" xfId="0" applyFont="1" applyFill="1" applyAlignment="1" applyProtection="1">
      <alignment horizontal="center"/>
    </xf>
    <xf numFmtId="14" fontId="2" fillId="0" borderId="0" xfId="0" applyNumberFormat="1" applyFont="1" applyFill="1" applyBorder="1" applyAlignment="1" applyProtection="1">
      <alignment horizontal="right"/>
    </xf>
    <xf numFmtId="0" fontId="4" fillId="0" borderId="0" xfId="0" applyFont="1" applyFill="1" applyAlignment="1" applyProtection="1">
      <alignment horizontal="left"/>
    </xf>
    <xf numFmtId="0" fontId="2" fillId="0" borderId="0" xfId="0" applyFont="1" applyFill="1" applyAlignment="1" applyProtection="1">
      <alignment horizontal="left"/>
    </xf>
    <xf numFmtId="0" fontId="0" fillId="0" borderId="0" xfId="0" applyFill="1" applyProtection="1"/>
    <xf numFmtId="0" fontId="5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centerContinuous"/>
    </xf>
    <xf numFmtId="0" fontId="2" fillId="0" borderId="0" xfId="0" applyFont="1" applyFill="1" applyAlignment="1" applyProtection="1">
      <alignment horizontal="centerContinuous"/>
    </xf>
    <xf numFmtId="0" fontId="2" fillId="0" borderId="0" xfId="0" applyFont="1" applyFill="1"/>
    <xf numFmtId="0" fontId="4" fillId="0" borderId="0" xfId="0" applyFont="1" applyFill="1"/>
    <xf numFmtId="0" fontId="4" fillId="0" borderId="0" xfId="0" applyFont="1"/>
    <xf numFmtId="0" fontId="2" fillId="0" borderId="2" xfId="0" applyFont="1" applyFill="1" applyBorder="1" applyAlignment="1" applyProtection="1">
      <alignment horizontal="center"/>
    </xf>
    <xf numFmtId="3" fontId="2" fillId="0" borderId="3" xfId="0" applyNumberFormat="1" applyFont="1" applyFill="1" applyBorder="1" applyProtection="1">
      <protection locked="0"/>
    </xf>
    <xf numFmtId="3" fontId="2" fillId="0" borderId="3" xfId="0" applyNumberFormat="1" applyFont="1" applyFill="1" applyBorder="1" applyProtection="1"/>
    <xf numFmtId="3" fontId="2" fillId="0" borderId="4" xfId="0" applyNumberFormat="1" applyFont="1" applyFill="1" applyBorder="1" applyAlignment="1" applyProtection="1">
      <alignment horizontal="right"/>
    </xf>
    <xf numFmtId="0" fontId="2" fillId="0" borderId="5" xfId="0" applyFont="1" applyFill="1" applyBorder="1" applyAlignment="1" applyProtection="1">
      <alignment horizontal="center"/>
    </xf>
    <xf numFmtId="0" fontId="2" fillId="0" borderId="6" xfId="0" applyFont="1" applyFill="1" applyBorder="1" applyAlignment="1" applyProtection="1">
      <alignment wrapText="1"/>
    </xf>
    <xf numFmtId="3" fontId="2" fillId="0" borderId="7" xfId="0" applyNumberFormat="1" applyFont="1" applyFill="1" applyBorder="1" applyAlignment="1" applyProtection="1"/>
    <xf numFmtId="0" fontId="0" fillId="0" borderId="0" xfId="0" applyProtection="1"/>
    <xf numFmtId="0" fontId="4" fillId="0" borderId="0" xfId="0" applyFont="1" applyFill="1" applyAlignment="1">
      <alignment horizontal="left"/>
    </xf>
    <xf numFmtId="0" fontId="2" fillId="0" borderId="8" xfId="0" applyFont="1" applyFill="1" applyBorder="1" applyAlignment="1">
      <alignment horizontal="center"/>
    </xf>
    <xf numFmtId="3" fontId="2" fillId="0" borderId="9" xfId="0" applyNumberFormat="1" applyFont="1" applyFill="1" applyBorder="1" applyAlignment="1" applyProtection="1">
      <alignment horizontal="right"/>
      <protection locked="0"/>
    </xf>
    <xf numFmtId="3" fontId="2" fillId="0" borderId="10" xfId="0" applyNumberFormat="1" applyFont="1" applyFill="1" applyBorder="1" applyAlignment="1" applyProtection="1">
      <alignment horizontal="right"/>
      <protection locked="0"/>
    </xf>
    <xf numFmtId="3" fontId="2" fillId="0" borderId="3" xfId="0" applyNumberFormat="1" applyFont="1" applyFill="1" applyBorder="1" applyAlignment="1" applyProtection="1">
      <alignment horizontal="right"/>
      <protection locked="0"/>
    </xf>
    <xf numFmtId="3" fontId="2" fillId="0" borderId="11" xfId="0" applyNumberFormat="1" applyFont="1" applyFill="1" applyBorder="1" applyAlignment="1" applyProtection="1">
      <alignment horizontal="right"/>
      <protection locked="0"/>
    </xf>
    <xf numFmtId="3" fontId="2" fillId="0" borderId="12" xfId="0" applyNumberFormat="1" applyFont="1" applyFill="1" applyBorder="1" applyAlignment="1" applyProtection="1">
      <alignment horizontal="right"/>
      <protection locked="0"/>
    </xf>
    <xf numFmtId="0" fontId="2" fillId="0" borderId="6" xfId="0" applyFont="1" applyFill="1" applyBorder="1" applyAlignment="1">
      <alignment wrapText="1"/>
    </xf>
    <xf numFmtId="0" fontId="2" fillId="0" borderId="0" xfId="0" applyFont="1" applyFill="1" applyBorder="1"/>
    <xf numFmtId="0" fontId="4" fillId="0" borderId="0" xfId="0" quotePrefix="1" applyFont="1" applyFill="1" applyAlignment="1">
      <alignment horizontal="left"/>
    </xf>
    <xf numFmtId="0" fontId="10" fillId="0" borderId="0" xfId="0" applyFont="1" applyFill="1"/>
    <xf numFmtId="4" fontId="10" fillId="0" borderId="0" xfId="0" applyNumberFormat="1" applyFont="1" applyFill="1" applyProtection="1"/>
    <xf numFmtId="0" fontId="10" fillId="0" borderId="0" xfId="0" applyFont="1"/>
    <xf numFmtId="0" fontId="11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2" fillId="0" borderId="0" xfId="0" applyFont="1" applyAlignment="1">
      <alignment horizontal="right"/>
    </xf>
    <xf numFmtId="0" fontId="2" fillId="0" borderId="1" xfId="0" applyFont="1" applyBorder="1" applyAlignment="1" applyProtection="1">
      <protection locked="0"/>
    </xf>
    <xf numFmtId="0" fontId="2" fillId="0" borderId="0" xfId="0" applyFont="1"/>
    <xf numFmtId="0" fontId="2" fillId="0" borderId="0" xfId="0" applyFont="1" applyAlignment="1"/>
    <xf numFmtId="14" fontId="2" fillId="0" borderId="1" xfId="0" applyNumberFormat="1" applyFont="1" applyBorder="1" applyAlignment="1" applyProtection="1">
      <alignment horizontal="right"/>
      <protection locked="0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Border="1" applyAlignment="1"/>
    <xf numFmtId="0" fontId="4" fillId="0" borderId="0" xfId="0" applyFont="1" applyAlignment="1">
      <alignment horizontal="right"/>
    </xf>
    <xf numFmtId="0" fontId="2" fillId="0" borderId="13" xfId="0" applyFont="1" applyFill="1" applyBorder="1" applyAlignment="1">
      <alignment horizontal="center"/>
    </xf>
    <xf numFmtId="0" fontId="14" fillId="0" borderId="0" xfId="0" applyFont="1"/>
    <xf numFmtId="0" fontId="4" fillId="0" borderId="0" xfId="0" applyFont="1" applyAlignment="1">
      <alignment horizontal="centerContinuous" wrapText="1"/>
    </xf>
    <xf numFmtId="0" fontId="9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6" xfId="0" applyFont="1" applyBorder="1" applyAlignment="1">
      <alignment wrapText="1"/>
    </xf>
    <xf numFmtId="0" fontId="2" fillId="0" borderId="0" xfId="0" applyFont="1" applyBorder="1"/>
    <xf numFmtId="0" fontId="2" fillId="0" borderId="0" xfId="6" applyFont="1" applyFill="1" applyAlignment="1">
      <alignment horizontal="left"/>
    </xf>
    <xf numFmtId="0" fontId="9" fillId="0" borderId="0" xfId="0" applyFont="1"/>
    <xf numFmtId="0" fontId="9" fillId="0" borderId="0" xfId="0" applyFont="1" applyProtection="1"/>
    <xf numFmtId="0" fontId="2" fillId="0" borderId="0" xfId="6" applyFont="1" applyFill="1"/>
    <xf numFmtId="0" fontId="9" fillId="0" borderId="0" xfId="0" applyFont="1" applyAlignment="1">
      <alignment horizontal="left"/>
    </xf>
    <xf numFmtId="0" fontId="0" fillId="0" borderId="0" xfId="0" applyBorder="1"/>
    <xf numFmtId="0" fontId="4" fillId="0" borderId="0" xfId="0" applyFont="1" applyBorder="1"/>
    <xf numFmtId="0" fontId="10" fillId="0" borderId="0" xfId="0" applyFont="1" applyBorder="1"/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horizontal="right" vertical="top"/>
    </xf>
    <xf numFmtId="0" fontId="2" fillId="0" borderId="15" xfId="0" applyFont="1" applyBorder="1" applyAlignment="1" applyProtection="1">
      <protection locked="0"/>
    </xf>
    <xf numFmtId="0" fontId="2" fillId="0" borderId="16" xfId="0" applyFont="1" applyBorder="1" applyProtection="1">
      <protection locked="0"/>
    </xf>
    <xf numFmtId="0" fontId="2" fillId="0" borderId="17" xfId="0" applyFont="1" applyBorder="1" applyAlignment="1">
      <alignment horizontal="centerContinuous" vertical="center" wrapText="1"/>
    </xf>
    <xf numFmtId="0" fontId="2" fillId="0" borderId="18" xfId="0" applyFont="1" applyBorder="1" applyAlignment="1">
      <alignment horizontal="centerContinuous" vertical="center" wrapText="1"/>
    </xf>
    <xf numFmtId="0" fontId="2" fillId="0" borderId="19" xfId="0" applyFont="1" applyBorder="1" applyAlignment="1">
      <alignment horizontal="centerContinuous" vertical="center" wrapText="1"/>
    </xf>
    <xf numFmtId="3" fontId="2" fillId="0" borderId="20" xfId="0" applyNumberFormat="1" applyFont="1" applyBorder="1" applyAlignment="1">
      <alignment wrapText="1"/>
    </xf>
    <xf numFmtId="3" fontId="2" fillId="0" borderId="21" xfId="0" applyNumberFormat="1" applyFont="1" applyBorder="1" applyAlignment="1">
      <alignment wrapText="1"/>
    </xf>
    <xf numFmtId="0" fontId="2" fillId="2" borderId="22" xfId="0" applyFont="1" applyFill="1" applyBorder="1" applyAlignment="1">
      <alignment horizontal="centerContinuous"/>
    </xf>
    <xf numFmtId="0" fontId="2" fillId="2" borderId="23" xfId="0" applyFont="1" applyFill="1" applyBorder="1" applyAlignment="1">
      <alignment horizontal="centerContinuous"/>
    </xf>
    <xf numFmtId="0" fontId="2" fillId="2" borderId="7" xfId="0" applyFont="1" applyFill="1" applyBorder="1" applyAlignment="1">
      <alignment horizontal="centerContinuous"/>
    </xf>
    <xf numFmtId="0" fontId="2" fillId="0" borderId="24" xfId="0" quotePrefix="1" applyFont="1" applyFill="1" applyBorder="1" applyAlignment="1">
      <alignment horizontal="center" vertical="center" wrapText="1"/>
    </xf>
    <xf numFmtId="0" fontId="2" fillId="0" borderId="24" xfId="0" quotePrefix="1" applyFont="1" applyFill="1" applyBorder="1" applyAlignment="1">
      <alignment horizontal="center" vertical="top" wrapText="1"/>
    </xf>
    <xf numFmtId="0" fontId="2" fillId="0" borderId="25" xfId="0" quotePrefix="1" applyFont="1" applyFill="1" applyBorder="1" applyAlignment="1">
      <alignment horizontal="center" vertical="center" wrapText="1"/>
    </xf>
    <xf numFmtId="0" fontId="2" fillId="2" borderId="22" xfId="0" applyFont="1" applyFill="1" applyBorder="1" applyAlignment="1" applyProtection="1">
      <alignment horizontal="centerContinuous"/>
    </xf>
    <xf numFmtId="0" fontId="2" fillId="2" borderId="26" xfId="0" applyFont="1" applyFill="1" applyBorder="1" applyAlignment="1" applyProtection="1">
      <alignment horizontal="centerContinuous"/>
    </xf>
    <xf numFmtId="0" fontId="2" fillId="2" borderId="26" xfId="0" applyFont="1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Continuous"/>
    </xf>
    <xf numFmtId="0" fontId="2" fillId="0" borderId="27" xfId="0" applyFont="1" applyFill="1" applyBorder="1" applyAlignment="1">
      <alignment horizontal="center"/>
    </xf>
    <xf numFmtId="3" fontId="2" fillId="0" borderId="28" xfId="0" applyNumberFormat="1" applyFont="1" applyFill="1" applyBorder="1" applyAlignment="1" applyProtection="1">
      <alignment horizontal="right"/>
      <protection locked="0"/>
    </xf>
    <xf numFmtId="3" fontId="2" fillId="0" borderId="29" xfId="0" applyNumberFormat="1" applyFont="1" applyFill="1" applyBorder="1" applyAlignment="1" applyProtection="1">
      <alignment horizontal="right"/>
      <protection locked="0"/>
    </xf>
    <xf numFmtId="3" fontId="2" fillId="0" borderId="30" xfId="0" applyNumberFormat="1" applyFont="1" applyFill="1" applyBorder="1" applyAlignment="1" applyProtection="1">
      <alignment horizontal="right"/>
      <protection locked="0"/>
    </xf>
    <xf numFmtId="0" fontId="0" fillId="0" borderId="0" xfId="0" applyBorder="1" applyProtection="1"/>
    <xf numFmtId="0" fontId="8" fillId="0" borderId="0" xfId="0" applyFont="1" applyFill="1" applyAlignment="1" applyProtection="1">
      <alignment horizontal="centerContinuous"/>
    </xf>
    <xf numFmtId="0" fontId="4" fillId="0" borderId="31" xfId="0" applyFont="1" applyFill="1" applyBorder="1" applyAlignment="1" applyProtection="1">
      <alignment horizontal="center"/>
    </xf>
    <xf numFmtId="0" fontId="4" fillId="0" borderId="0" xfId="0" applyFont="1" applyFill="1" applyBorder="1" applyAlignment="1" applyProtection="1">
      <alignment horizontal="center"/>
    </xf>
    <xf numFmtId="49" fontId="2" fillId="0" borderId="13" xfId="0" quotePrefix="1" applyNumberFormat="1" applyFont="1" applyFill="1" applyBorder="1" applyAlignment="1" applyProtection="1">
      <alignment horizontal="center" vertical="center" wrapText="1"/>
    </xf>
    <xf numFmtId="9" fontId="2" fillId="0" borderId="24" xfId="0" quotePrefix="1" applyNumberFormat="1" applyFont="1" applyFill="1" applyBorder="1" applyAlignment="1" applyProtection="1">
      <alignment horizontal="center" vertical="center" wrapText="1"/>
    </xf>
    <xf numFmtId="9" fontId="2" fillId="0" borderId="24" xfId="0" applyNumberFormat="1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 applyProtection="1">
      <alignment horizontal="center"/>
    </xf>
    <xf numFmtId="3" fontId="2" fillId="2" borderId="23" xfId="0" applyNumberFormat="1" applyFont="1" applyFill="1" applyBorder="1" applyAlignment="1" applyProtection="1">
      <alignment horizontal="center"/>
    </xf>
    <xf numFmtId="14" fontId="2" fillId="0" borderId="0" xfId="0" applyNumberFormat="1" applyFont="1" applyBorder="1" applyAlignment="1" applyProtection="1">
      <alignment horizontal="right"/>
    </xf>
    <xf numFmtId="49" fontId="2" fillId="0" borderId="13" xfId="0" quotePrefix="1" applyNumberFormat="1" applyFont="1" applyBorder="1" applyAlignment="1">
      <alignment horizontal="center" vertical="center" wrapText="1"/>
    </xf>
    <xf numFmtId="9" fontId="2" fillId="0" borderId="24" xfId="0" applyNumberFormat="1" applyFont="1" applyBorder="1" applyAlignment="1">
      <alignment horizontal="center" vertical="center" wrapText="1"/>
    </xf>
    <xf numFmtId="0" fontId="0" fillId="2" borderId="23" xfId="0" applyFill="1" applyBorder="1" applyAlignment="1">
      <alignment horizontal="center"/>
    </xf>
    <xf numFmtId="0" fontId="2" fillId="0" borderId="1" xfId="0" applyFont="1" applyBorder="1" applyProtection="1">
      <protection locked="0"/>
    </xf>
    <xf numFmtId="0" fontId="6" fillId="0" borderId="0" xfId="0" applyFont="1" applyAlignment="1">
      <alignment horizontal="centerContinuous"/>
    </xf>
    <xf numFmtId="3" fontId="2" fillId="0" borderId="32" xfId="0" applyNumberFormat="1" applyFont="1" applyBorder="1" applyProtection="1">
      <protection locked="0"/>
    </xf>
    <xf numFmtId="3" fontId="2" fillId="0" borderId="10" xfId="0" applyNumberFormat="1" applyFont="1" applyBorder="1" applyProtection="1">
      <protection locked="0"/>
    </xf>
    <xf numFmtId="3" fontId="2" fillId="0" borderId="24" xfId="0" applyNumberFormat="1" applyFont="1" applyBorder="1" applyProtection="1">
      <protection locked="0"/>
    </xf>
    <xf numFmtId="3" fontId="2" fillId="0" borderId="23" xfId="0" applyNumberFormat="1" applyFont="1" applyFill="1" applyBorder="1" applyAlignment="1" applyProtection="1"/>
    <xf numFmtId="0" fontId="4" fillId="0" borderId="0" xfId="0" applyFont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2" fillId="2" borderId="7" xfId="0" applyFont="1" applyFill="1" applyBorder="1" applyAlignment="1">
      <alignment horizontal="centerContinuous" wrapText="1"/>
    </xf>
    <xf numFmtId="0" fontId="4" fillId="0" borderId="0" xfId="0" applyFont="1" applyAlignment="1"/>
    <xf numFmtId="173" fontId="2" fillId="0" borderId="33" xfId="0" applyNumberFormat="1" applyFont="1" applyBorder="1" applyAlignment="1" applyProtection="1">
      <alignment wrapText="1"/>
    </xf>
    <xf numFmtId="173" fontId="2" fillId="0" borderId="15" xfId="0" applyNumberFormat="1" applyFont="1" applyBorder="1" applyAlignment="1" applyProtection="1">
      <alignment wrapText="1"/>
    </xf>
    <xf numFmtId="173" fontId="2" fillId="0" borderId="16" xfId="0" applyNumberFormat="1" applyFont="1" applyBorder="1" applyAlignment="1" applyProtection="1">
      <alignment wrapText="1"/>
    </xf>
    <xf numFmtId="173" fontId="2" fillId="0" borderId="34" xfId="0" applyNumberFormat="1" applyFont="1" applyBorder="1" applyAlignment="1"/>
    <xf numFmtId="0" fontId="3" fillId="0" borderId="0" xfId="0" applyFont="1" applyFill="1" applyAlignment="1" applyProtection="1">
      <alignment horizontal="center"/>
    </xf>
    <xf numFmtId="49" fontId="4" fillId="2" borderId="35" xfId="2" applyNumberFormat="1" applyFont="1" applyFill="1" applyBorder="1" applyAlignment="1">
      <alignment horizontal="center"/>
    </xf>
    <xf numFmtId="0" fontId="4" fillId="0" borderId="36" xfId="2" applyFont="1" applyBorder="1" applyAlignment="1">
      <alignment horizontal="center" vertical="center"/>
    </xf>
    <xf numFmtId="0" fontId="2" fillId="0" borderId="37" xfId="0" applyFont="1" applyBorder="1" applyAlignment="1" applyProtection="1">
      <alignment wrapText="1"/>
      <protection locked="0"/>
    </xf>
    <xf numFmtId="0" fontId="4" fillId="0" borderId="7" xfId="2" applyFont="1" applyFill="1" applyBorder="1" applyProtection="1">
      <protection locked="0"/>
    </xf>
    <xf numFmtId="0" fontId="2" fillId="2" borderId="36" xfId="3" applyFont="1" applyFill="1" applyBorder="1" applyAlignment="1" applyProtection="1">
      <alignment horizontal="center" vertical="center" wrapText="1"/>
    </xf>
    <xf numFmtId="0" fontId="2" fillId="0" borderId="8" xfId="3" applyFont="1" applyBorder="1" applyAlignment="1" applyProtection="1">
      <alignment horizontal="center"/>
    </xf>
    <xf numFmtId="0" fontId="11" fillId="0" borderId="0" xfId="4" applyFont="1" applyFill="1" applyAlignment="1">
      <alignment horizontal="centerContinuous"/>
    </xf>
    <xf numFmtId="0" fontId="5" fillId="2" borderId="36" xfId="3" applyFont="1" applyFill="1" applyBorder="1" applyAlignment="1">
      <alignment horizontal="center" vertical="center"/>
    </xf>
    <xf numFmtId="0" fontId="2" fillId="0" borderId="38" xfId="3" applyFont="1" applyBorder="1" applyAlignment="1" applyProtection="1">
      <alignment horizontal="center"/>
    </xf>
    <xf numFmtId="3" fontId="4" fillId="0" borderId="32" xfId="3" applyNumberFormat="1" applyFont="1" applyBorder="1" applyProtection="1">
      <protection locked="0"/>
    </xf>
    <xf numFmtId="3" fontId="4" fillId="0" borderId="32" xfId="3" applyNumberFormat="1" applyFont="1" applyBorder="1"/>
    <xf numFmtId="3" fontId="4" fillId="0" borderId="39" xfId="3" applyNumberFormat="1" applyFont="1" applyBorder="1"/>
    <xf numFmtId="3" fontId="4" fillId="0" borderId="10" xfId="3" applyNumberFormat="1" applyFont="1" applyBorder="1" applyProtection="1">
      <protection locked="0"/>
    </xf>
    <xf numFmtId="3" fontId="4" fillId="0" borderId="10" xfId="3" applyNumberFormat="1" applyFont="1" applyBorder="1"/>
    <xf numFmtId="3" fontId="4" fillId="0" borderId="40" xfId="3" applyNumberFormat="1" applyFont="1" applyBorder="1"/>
    <xf numFmtId="0" fontId="2" fillId="0" borderId="13" xfId="3" applyFont="1" applyBorder="1" applyAlignment="1" applyProtection="1">
      <alignment horizontal="center"/>
    </xf>
    <xf numFmtId="3" fontId="4" fillId="0" borderId="24" xfId="3" applyNumberFormat="1" applyFont="1" applyBorder="1" applyProtection="1">
      <protection locked="0"/>
    </xf>
    <xf numFmtId="3" fontId="4" fillId="0" borderId="24" xfId="3" applyNumberFormat="1" applyFont="1" applyBorder="1"/>
    <xf numFmtId="0" fontId="2" fillId="0" borderId="6" xfId="3" applyFont="1" applyFill="1" applyBorder="1" applyAlignment="1" applyProtection="1"/>
    <xf numFmtId="3" fontId="2" fillId="0" borderId="41" xfId="3" applyNumberFormat="1" applyFont="1" applyFill="1" applyBorder="1" applyAlignment="1" applyProtection="1">
      <alignment wrapText="1"/>
    </xf>
    <xf numFmtId="3" fontId="2" fillId="0" borderId="42" xfId="3" applyNumberFormat="1" applyFont="1" applyFill="1" applyBorder="1" applyAlignment="1" applyProtection="1">
      <alignment wrapText="1"/>
    </xf>
    <xf numFmtId="0" fontId="2" fillId="2" borderId="36" xfId="5" applyFont="1" applyFill="1" applyBorder="1" applyAlignment="1" applyProtection="1">
      <alignment horizontal="center" vertical="center" wrapText="1"/>
    </xf>
    <xf numFmtId="0" fontId="2" fillId="0" borderId="43" xfId="5" applyFont="1" applyBorder="1" applyAlignment="1" applyProtection="1">
      <alignment horizontal="center"/>
    </xf>
    <xf numFmtId="0" fontId="2" fillId="0" borderId="8" xfId="5" applyFont="1" applyBorder="1" applyAlignment="1" applyProtection="1">
      <alignment horizontal="center"/>
    </xf>
    <xf numFmtId="0" fontId="2" fillId="0" borderId="14" xfId="5" applyFont="1" applyBorder="1" applyAlignment="1" applyProtection="1">
      <alignment horizontal="center"/>
    </xf>
    <xf numFmtId="0" fontId="2" fillId="0" borderId="36" xfId="5" applyFont="1" applyBorder="1" applyAlignment="1" applyProtection="1">
      <alignment wrapText="1"/>
    </xf>
    <xf numFmtId="3" fontId="2" fillId="0" borderId="7" xfId="1" applyNumberFormat="1" applyFont="1" applyBorder="1" applyAlignment="1" applyProtection="1">
      <alignment horizontal="center"/>
    </xf>
    <xf numFmtId="0" fontId="5" fillId="2" borderId="36" xfId="5" applyFont="1" applyFill="1" applyBorder="1" applyAlignment="1">
      <alignment horizontal="center" vertical="center"/>
    </xf>
    <xf numFmtId="0" fontId="5" fillId="2" borderId="42" xfId="5" applyFont="1" applyFill="1" applyBorder="1" applyAlignment="1">
      <alignment horizontal="center" vertical="center"/>
    </xf>
    <xf numFmtId="3" fontId="4" fillId="0" borderId="40" xfId="5" applyNumberFormat="1" applyFont="1" applyBorder="1" applyProtection="1">
      <protection locked="0"/>
    </xf>
    <xf numFmtId="4" fontId="4" fillId="0" borderId="42" xfId="5" applyNumberFormat="1" applyFont="1" applyBorder="1" applyAlignment="1">
      <alignment horizontal="center"/>
    </xf>
    <xf numFmtId="3" fontId="4" fillId="0" borderId="36" xfId="5" applyNumberFormat="1" applyFont="1" applyBorder="1" applyAlignment="1" applyProtection="1">
      <alignment horizontal="center"/>
      <protection locked="0"/>
    </xf>
    <xf numFmtId="4" fontId="4" fillId="0" borderId="36" xfId="5" applyNumberFormat="1" applyFont="1" applyBorder="1" applyAlignment="1">
      <alignment horizontal="center"/>
    </xf>
    <xf numFmtId="3" fontId="4" fillId="0" borderId="36" xfId="5" applyNumberFormat="1" applyFont="1" applyBorder="1"/>
    <xf numFmtId="3" fontId="4" fillId="0" borderId="0" xfId="5" applyNumberFormat="1" applyFont="1"/>
    <xf numFmtId="0" fontId="4" fillId="0" borderId="0" xfId="5" applyFont="1" applyFill="1" applyAlignment="1">
      <alignment horizontal="right"/>
    </xf>
    <xf numFmtId="3" fontId="2" fillId="0" borderId="28" xfId="0" applyNumberFormat="1" applyFont="1" applyBorder="1" applyProtection="1">
      <protection locked="0"/>
    </xf>
    <xf numFmtId="3" fontId="2" fillId="0" borderId="3" xfId="0" applyNumberFormat="1" applyFont="1" applyBorder="1" applyProtection="1">
      <protection locked="0"/>
    </xf>
    <xf numFmtId="0" fontId="22" fillId="0" borderId="0" xfId="0" applyFont="1"/>
    <xf numFmtId="0" fontId="9" fillId="0" borderId="22" xfId="2" applyFont="1" applyBorder="1" applyAlignment="1">
      <alignment horizontal="center" vertical="center" wrapText="1"/>
    </xf>
    <xf numFmtId="0" fontId="9" fillId="0" borderId="23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9" fillId="0" borderId="27" xfId="2" applyFont="1" applyBorder="1" applyAlignment="1">
      <alignment vertical="center"/>
    </xf>
    <xf numFmtId="3" fontId="9" fillId="0" borderId="30" xfId="0" applyNumberFormat="1" applyFont="1" applyFill="1" applyBorder="1" applyAlignment="1" applyProtection="1">
      <protection locked="0"/>
    </xf>
    <xf numFmtId="10" fontId="9" fillId="0" borderId="30" xfId="7" applyNumberFormat="1" applyFont="1" applyFill="1" applyBorder="1" applyAlignment="1" applyProtection="1"/>
    <xf numFmtId="3" fontId="9" fillId="0" borderId="44" xfId="0" applyNumberFormat="1" applyFont="1" applyFill="1" applyBorder="1" applyAlignment="1" applyProtection="1">
      <protection locked="0"/>
    </xf>
    <xf numFmtId="0" fontId="9" fillId="0" borderId="13" xfId="2" applyFont="1" applyBorder="1" applyAlignment="1">
      <alignment vertical="center"/>
    </xf>
    <xf numFmtId="3" fontId="9" fillId="0" borderId="24" xfId="0" applyNumberFormat="1" applyFont="1" applyFill="1" applyBorder="1" applyAlignment="1" applyProtection="1">
      <protection locked="0"/>
    </xf>
    <xf numFmtId="10" fontId="9" fillId="0" borderId="24" xfId="0" applyNumberFormat="1" applyFont="1" applyFill="1" applyBorder="1" applyAlignment="1" applyProtection="1"/>
    <xf numFmtId="3" fontId="9" fillId="0" borderId="45" xfId="0" applyNumberFormat="1" applyFont="1" applyFill="1" applyBorder="1" applyAlignment="1" applyProtection="1">
      <protection locked="0"/>
    </xf>
    <xf numFmtId="0" fontId="15" fillId="0" borderId="0" xfId="0" applyFont="1" applyAlignment="1">
      <alignment horizontal="right"/>
    </xf>
    <xf numFmtId="0" fontId="23" fillId="0" borderId="0" xfId="0" applyFont="1"/>
    <xf numFmtId="0" fontId="9" fillId="0" borderId="22" xfId="0" quotePrefix="1" applyFont="1" applyBorder="1" applyAlignment="1">
      <alignment horizontal="center" vertical="center" wrapText="1"/>
    </xf>
    <xf numFmtId="0" fontId="9" fillId="0" borderId="23" xfId="0" quotePrefix="1" applyFont="1" applyBorder="1" applyAlignment="1">
      <alignment horizontal="center" vertical="center" wrapText="1"/>
    </xf>
    <xf numFmtId="0" fontId="9" fillId="0" borderId="7" xfId="0" quotePrefix="1" applyFont="1" applyBorder="1" applyAlignment="1">
      <alignment horizontal="center" vertical="center" wrapText="1"/>
    </xf>
    <xf numFmtId="0" fontId="9" fillId="2" borderId="22" xfId="0" applyFont="1" applyFill="1" applyBorder="1" applyAlignment="1" applyProtection="1">
      <alignment horizontal="centerContinuous"/>
    </xf>
    <xf numFmtId="0" fontId="9" fillId="2" borderId="26" xfId="0" applyFont="1" applyFill="1" applyBorder="1" applyAlignment="1" applyProtection="1">
      <alignment horizontal="centerContinuous"/>
    </xf>
    <xf numFmtId="0" fontId="9" fillId="2" borderId="7" xfId="0" applyFont="1" applyFill="1" applyBorder="1" applyAlignment="1" applyProtection="1">
      <alignment horizontal="centerContinuous"/>
    </xf>
    <xf numFmtId="0" fontId="9" fillId="0" borderId="31" xfId="0" applyFont="1" applyBorder="1" applyAlignment="1" applyProtection="1">
      <alignment horizontal="center" wrapText="1"/>
    </xf>
    <xf numFmtId="3" fontId="9" fillId="0" borderId="28" xfId="0" applyNumberFormat="1" applyFont="1" applyBorder="1" applyAlignment="1" applyProtection="1">
      <alignment horizontal="left" wrapText="1"/>
      <protection locked="0"/>
    </xf>
    <xf numFmtId="3" fontId="9" fillId="0" borderId="28" xfId="0" applyNumberFormat="1" applyFont="1" applyBorder="1" applyAlignment="1" applyProtection="1">
      <alignment horizontal="right" wrapText="1"/>
      <protection locked="0"/>
    </xf>
    <xf numFmtId="3" fontId="9" fillId="0" borderId="46" xfId="0" applyNumberFormat="1" applyFont="1" applyBorder="1" applyAlignment="1" applyProtection="1">
      <alignment horizontal="right" wrapText="1"/>
      <protection locked="0"/>
    </xf>
    <xf numFmtId="0" fontId="9" fillId="0" borderId="2" xfId="0" applyFont="1" applyBorder="1" applyAlignment="1" applyProtection="1">
      <alignment horizontal="center" wrapText="1"/>
    </xf>
    <xf numFmtId="3" fontId="9" fillId="0" borderId="3" xfId="0" applyNumberFormat="1" applyFont="1" applyBorder="1" applyAlignment="1" applyProtection="1">
      <alignment horizontal="left" wrapText="1"/>
      <protection locked="0"/>
    </xf>
    <xf numFmtId="3" fontId="9" fillId="0" borderId="3" xfId="0" applyNumberFormat="1" applyFont="1" applyBorder="1" applyAlignment="1" applyProtection="1">
      <alignment horizontal="right" wrapText="1"/>
      <protection locked="0"/>
    </xf>
    <xf numFmtId="3" fontId="9" fillId="0" borderId="4" xfId="0" applyNumberFormat="1" applyFont="1" applyBorder="1" applyAlignment="1" applyProtection="1">
      <alignment horizontal="right" wrapText="1"/>
      <protection locked="0"/>
    </xf>
    <xf numFmtId="0" fontId="9" fillId="0" borderId="5" xfId="0" applyFont="1" applyBorder="1" applyAlignment="1" applyProtection="1">
      <alignment horizontal="center" wrapText="1"/>
    </xf>
    <xf numFmtId="3" fontId="9" fillId="0" borderId="47" xfId="0" applyNumberFormat="1" applyFont="1" applyBorder="1" applyAlignment="1" applyProtection="1">
      <alignment horizontal="left" wrapText="1"/>
      <protection locked="0"/>
    </xf>
    <xf numFmtId="3" fontId="9" fillId="0" borderId="47" xfId="0" applyNumberFormat="1" applyFont="1" applyBorder="1" applyAlignment="1" applyProtection="1">
      <alignment horizontal="right" wrapText="1"/>
      <protection locked="0"/>
    </xf>
    <xf numFmtId="3" fontId="9" fillId="0" borderId="25" xfId="0" applyNumberFormat="1" applyFont="1" applyBorder="1" applyAlignment="1" applyProtection="1">
      <alignment horizontal="right" wrapText="1"/>
      <protection locked="0"/>
    </xf>
    <xf numFmtId="0" fontId="23" fillId="0" borderId="0" xfId="0" applyFont="1" applyFill="1"/>
    <xf numFmtId="2" fontId="15" fillId="0" borderId="0" xfId="0" applyNumberFormat="1" applyFont="1" applyFill="1" applyBorder="1" applyAlignment="1" applyProtection="1">
      <alignment horizontal="right"/>
    </xf>
    <xf numFmtId="0" fontId="9" fillId="2" borderId="26" xfId="0" applyFont="1" applyFill="1" applyBorder="1" applyAlignment="1" applyProtection="1">
      <alignment horizontal="center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5" fillId="0" borderId="0" xfId="0" applyFont="1" applyAlignment="1">
      <alignment wrapText="1"/>
    </xf>
    <xf numFmtId="3" fontId="2" fillId="0" borderId="30" xfId="0" applyNumberFormat="1" applyFont="1" applyBorder="1" applyAlignment="1" applyProtection="1">
      <alignment horizontal="right"/>
      <protection locked="0"/>
    </xf>
    <xf numFmtId="3" fontId="2" fillId="0" borderId="28" xfId="0" applyNumberFormat="1" applyFont="1" applyBorder="1" applyAlignment="1" applyProtection="1">
      <alignment horizontal="right"/>
      <protection locked="0"/>
    </xf>
    <xf numFmtId="3" fontId="2" fillId="0" borderId="10" xfId="0" applyNumberFormat="1" applyFont="1" applyBorder="1" applyAlignment="1" applyProtection="1">
      <alignment horizontal="right"/>
      <protection locked="0"/>
    </xf>
    <xf numFmtId="3" fontId="2" fillId="0" borderId="3" xfId="0" applyNumberFormat="1" applyFont="1" applyBorder="1" applyAlignment="1" applyProtection="1">
      <alignment horizontal="right"/>
      <protection locked="0"/>
    </xf>
    <xf numFmtId="3" fontId="2" fillId="0" borderId="12" xfId="0" applyNumberFormat="1" applyFont="1" applyBorder="1" applyAlignment="1" applyProtection="1">
      <alignment horizontal="right"/>
      <protection locked="0"/>
    </xf>
    <xf numFmtId="3" fontId="2" fillId="0" borderId="23" xfId="0" applyNumberFormat="1" applyFont="1" applyBorder="1"/>
    <xf numFmtId="3" fontId="2" fillId="0" borderId="47" xfId="0" applyNumberFormat="1" applyFont="1" applyBorder="1" applyAlignment="1" applyProtection="1">
      <alignment horizontal="right"/>
      <protection locked="0"/>
    </xf>
    <xf numFmtId="9" fontId="2" fillId="3" borderId="24" xfId="0" quotePrefix="1" applyNumberFormat="1" applyFont="1" applyFill="1" applyBorder="1" applyAlignment="1">
      <alignment horizontal="center" vertical="center" wrapText="1"/>
    </xf>
    <xf numFmtId="9" fontId="2" fillId="3" borderId="24" xfId="0" applyNumberFormat="1" applyFont="1" applyFill="1" applyBorder="1" applyAlignment="1">
      <alignment horizontal="center" vertical="center" wrapText="1"/>
    </xf>
    <xf numFmtId="9" fontId="2" fillId="3" borderId="24" xfId="0" quotePrefix="1" applyNumberFormat="1" applyFont="1" applyFill="1" applyBorder="1" applyAlignment="1" applyProtection="1">
      <alignment horizontal="center" vertical="center" wrapText="1"/>
    </xf>
    <xf numFmtId="9" fontId="2" fillId="3" borderId="24" xfId="0" applyNumberFormat="1" applyFont="1" applyFill="1" applyBorder="1" applyAlignment="1" applyProtection="1">
      <alignment horizontal="center" vertical="center" wrapText="1"/>
    </xf>
    <xf numFmtId="9" fontId="2" fillId="3" borderId="25" xfId="0" applyNumberFormat="1" applyFont="1" applyFill="1" applyBorder="1" applyAlignment="1">
      <alignment horizontal="center" vertical="center" wrapText="1"/>
    </xf>
    <xf numFmtId="3" fontId="2" fillId="3" borderId="39" xfId="0" applyNumberFormat="1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3" fontId="2" fillId="3" borderId="4" xfId="0" applyNumberFormat="1" applyFont="1" applyFill="1" applyBorder="1"/>
    <xf numFmtId="0" fontId="4" fillId="0" borderId="0" xfId="0" applyFont="1" applyAlignment="1">
      <alignment horizontal="right" wrapText="1"/>
    </xf>
    <xf numFmtId="0" fontId="2" fillId="0" borderId="17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center" wrapText="1"/>
    </xf>
    <xf numFmtId="0" fontId="16" fillId="0" borderId="22" xfId="2" applyFont="1" applyBorder="1" applyAlignment="1">
      <alignment horizontal="center" vertical="center" wrapText="1"/>
    </xf>
    <xf numFmtId="0" fontId="16" fillId="0" borderId="23" xfId="2" applyFont="1" applyBorder="1" applyAlignment="1">
      <alignment horizontal="center" vertical="center" wrapText="1"/>
    </xf>
    <xf numFmtId="0" fontId="16" fillId="0" borderId="7" xfId="2" applyFont="1" applyBorder="1" applyAlignment="1">
      <alignment horizontal="center" vertical="center" wrapText="1"/>
    </xf>
    <xf numFmtId="0" fontId="2" fillId="0" borderId="32" xfId="0" applyFont="1" applyFill="1" applyBorder="1" applyAlignment="1">
      <alignment horizontal="center" vertical="center" wrapText="1"/>
    </xf>
    <xf numFmtId="0" fontId="2" fillId="0" borderId="39" xfId="0" applyFont="1" applyFill="1" applyBorder="1" applyAlignment="1">
      <alignment horizontal="center" vertical="center" wrapText="1"/>
    </xf>
    <xf numFmtId="0" fontId="2" fillId="0" borderId="32" xfId="0" quotePrefix="1" applyFont="1" applyFill="1" applyBorder="1" applyAlignment="1">
      <alignment horizontal="center" vertical="center" wrapText="1"/>
    </xf>
    <xf numFmtId="0" fontId="0" fillId="0" borderId="24" xfId="0" applyBorder="1" applyAlignment="1"/>
    <xf numFmtId="0" fontId="2" fillId="0" borderId="32" xfId="0" quotePrefix="1" applyFont="1" applyBorder="1" applyAlignment="1">
      <alignment horizontal="center" vertical="center" wrapText="1"/>
    </xf>
    <xf numFmtId="0" fontId="2" fillId="0" borderId="38" xfId="0" applyFont="1" applyFill="1" applyBorder="1" applyAlignment="1" applyProtection="1">
      <alignment horizontal="center" vertical="center" wrapText="1"/>
    </xf>
    <xf numFmtId="0" fontId="2" fillId="0" borderId="13" xfId="0" applyFont="1" applyFill="1" applyBorder="1" applyAlignment="1" applyProtection="1">
      <alignment horizontal="center" vertical="center" wrapText="1"/>
    </xf>
    <xf numFmtId="0" fontId="2" fillId="0" borderId="24" xfId="0" applyFont="1" applyFill="1" applyBorder="1" applyAlignment="1">
      <alignment horizontal="center" vertical="center" wrapText="1"/>
    </xf>
    <xf numFmtId="0" fontId="6" fillId="0" borderId="49" xfId="0" applyFont="1" applyFill="1" applyBorder="1" applyAlignment="1" applyProtection="1">
      <alignment horizontal="center" vertical="center"/>
    </xf>
    <xf numFmtId="0" fontId="2" fillId="0" borderId="50" xfId="0" applyFont="1" applyBorder="1" applyAlignment="1" applyProtection="1">
      <alignment horizontal="center" vertical="center" wrapText="1"/>
    </xf>
    <xf numFmtId="0" fontId="2" fillId="0" borderId="51" xfId="0" applyFont="1" applyBorder="1" applyAlignment="1" applyProtection="1">
      <alignment horizontal="center" vertical="center" wrapText="1"/>
    </xf>
    <xf numFmtId="0" fontId="2" fillId="0" borderId="52" xfId="0" applyFont="1" applyBorder="1" applyAlignment="1" applyProtection="1">
      <alignment horizontal="center" vertical="center" wrapText="1"/>
    </xf>
    <xf numFmtId="0" fontId="3" fillId="0" borderId="0" xfId="0" applyFont="1" applyFill="1" applyAlignment="1" applyProtection="1">
      <alignment horizontal="center"/>
    </xf>
    <xf numFmtId="0" fontId="8" fillId="0" borderId="0" xfId="0" applyFont="1" applyFill="1" applyAlignment="1" applyProtection="1">
      <alignment horizontal="center"/>
    </xf>
    <xf numFmtId="0" fontId="2" fillId="0" borderId="50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3" applyFont="1" applyBorder="1" applyAlignment="1">
      <alignment horizontal="center" wrapText="1" shrinkToFit="1"/>
    </xf>
    <xf numFmtId="0" fontId="3" fillId="0" borderId="41" xfId="3" applyFont="1" applyBorder="1" applyAlignment="1">
      <alignment horizontal="center" wrapText="1" shrinkToFit="1"/>
    </xf>
    <xf numFmtId="0" fontId="3" fillId="0" borderId="42" xfId="3" applyFont="1" applyBorder="1" applyAlignment="1">
      <alignment horizontal="center" wrapText="1" shrinkToFit="1"/>
    </xf>
    <xf numFmtId="0" fontId="2" fillId="0" borderId="35" xfId="3" applyFont="1" applyBorder="1" applyAlignment="1" applyProtection="1">
      <alignment horizontal="center" vertical="center" wrapText="1"/>
    </xf>
    <xf numFmtId="0" fontId="4" fillId="0" borderId="53" xfId="3" applyFont="1" applyBorder="1"/>
    <xf numFmtId="0" fontId="4" fillId="0" borderId="35" xfId="3" applyFont="1" applyFill="1" applyBorder="1" applyAlignment="1">
      <alignment horizontal="center" vertical="center" wrapText="1"/>
    </xf>
    <xf numFmtId="0" fontId="4" fillId="0" borderId="53" xfId="3" applyFont="1" applyFill="1" applyBorder="1" applyAlignment="1">
      <alignment horizontal="center" vertical="center" wrapText="1"/>
    </xf>
    <xf numFmtId="0" fontId="3" fillId="0" borderId="36" xfId="5" applyFont="1" applyBorder="1" applyAlignment="1">
      <alignment horizontal="center" vertical="center" wrapText="1"/>
    </xf>
    <xf numFmtId="0" fontId="2" fillId="0" borderId="36" xfId="5" applyFont="1" applyBorder="1" applyAlignment="1" applyProtection="1">
      <alignment horizontal="center" vertical="center" wrapText="1"/>
    </xf>
    <xf numFmtId="0" fontId="2" fillId="0" borderId="36" xfId="5" quotePrefix="1" applyFont="1" applyBorder="1" applyAlignment="1" applyProtection="1">
      <alignment horizontal="center" vertical="center" wrapText="1"/>
    </xf>
    <xf numFmtId="0" fontId="3" fillId="0" borderId="42" xfId="5" applyFont="1" applyBorder="1" applyAlignment="1">
      <alignment horizontal="center" vertical="center" wrapText="1"/>
    </xf>
    <xf numFmtId="0" fontId="3" fillId="0" borderId="35" xfId="5" applyFont="1" applyBorder="1" applyAlignment="1">
      <alignment horizontal="center" vertical="center" wrapText="1"/>
    </xf>
    <xf numFmtId="0" fontId="3" fillId="0" borderId="53" xfId="5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</cellXfs>
  <cellStyles count="8">
    <cellStyle name="Comma 7" xfId="1"/>
    <cellStyle name="Normal" xfId="0" builtinId="0"/>
    <cellStyle name="Normal 2" xfId="2"/>
    <cellStyle name="Normal 3" xfId="3"/>
    <cellStyle name="Normal 6" xfId="4"/>
    <cellStyle name="Normal 7" xfId="5"/>
    <cellStyle name="Normal_Sheet3" xfId="6"/>
    <cellStyle name="Percent" xfId="7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73"/>
  <sheetViews>
    <sheetView showGridLines="0" tabSelected="1" zoomScaleNormal="100" workbookViewId="0">
      <selection activeCell="A3" sqref="A3"/>
    </sheetView>
  </sheetViews>
  <sheetFormatPr defaultRowHeight="12.75"/>
  <cols>
    <col min="1" max="1" width="9.140625" style="19"/>
    <col min="2" max="2" width="17.140625" style="19" customWidth="1"/>
    <col min="3" max="3" width="13.140625" style="19" customWidth="1"/>
    <col min="4" max="4" width="16.85546875" style="19" customWidth="1"/>
    <col min="5" max="5" width="15" style="19" customWidth="1"/>
    <col min="6" max="6" width="14.5703125" style="19" customWidth="1"/>
    <col min="7" max="7" width="14.140625" style="19" customWidth="1"/>
    <col min="8" max="9" width="16" style="19" customWidth="1"/>
    <col min="10" max="10" width="15.85546875" style="19" customWidth="1"/>
    <col min="11" max="16384" width="9.140625" style="19"/>
  </cols>
  <sheetData>
    <row r="1" spans="1:10">
      <c r="A1" s="159" t="s">
        <v>301</v>
      </c>
      <c r="F1" s="6"/>
      <c r="G1" s="47"/>
      <c r="I1" s="53" t="s">
        <v>50</v>
      </c>
    </row>
    <row r="2" spans="1:10">
      <c r="F2" s="6"/>
      <c r="G2" s="47"/>
    </row>
    <row r="3" spans="1:10" ht="12.75" customHeight="1">
      <c r="F3" s="215" t="s">
        <v>51</v>
      </c>
      <c r="G3" s="215"/>
      <c r="H3" s="215"/>
      <c r="I3" s="215"/>
    </row>
    <row r="4" spans="1:10">
      <c r="F4" s="215"/>
      <c r="G4" s="215"/>
      <c r="H4" s="215"/>
      <c r="I4" s="215"/>
    </row>
    <row r="5" spans="1:10">
      <c r="F5" s="6"/>
      <c r="G5" s="115"/>
      <c r="H5" s="115"/>
      <c r="I5" s="115"/>
    </row>
    <row r="6" spans="1:10">
      <c r="F6" s="6"/>
      <c r="G6" s="53"/>
      <c r="H6" s="53"/>
      <c r="I6" s="53"/>
    </row>
    <row r="7" spans="1:10" ht="15">
      <c r="B7" s="41" t="s">
        <v>26</v>
      </c>
      <c r="C7" s="42"/>
      <c r="D7" s="42"/>
      <c r="E7" s="43"/>
      <c r="F7" s="43"/>
      <c r="G7" s="42"/>
      <c r="H7" s="42"/>
      <c r="I7" s="44" t="s">
        <v>25</v>
      </c>
      <c r="J7"/>
    </row>
    <row r="8" spans="1:10">
      <c r="B8" s="107" t="s">
        <v>45</v>
      </c>
      <c r="C8" s="56"/>
      <c r="D8" s="42"/>
      <c r="E8" s="42"/>
      <c r="F8" s="42"/>
      <c r="G8" s="42"/>
      <c r="H8" s="42"/>
      <c r="I8" s="44"/>
      <c r="J8"/>
    </row>
    <row r="9" spans="1:10">
      <c r="B9" s="107"/>
      <c r="C9" s="56"/>
      <c r="D9" s="42"/>
      <c r="E9" s="42"/>
      <c r="F9" s="42"/>
      <c r="G9" s="42"/>
      <c r="H9" s="42"/>
      <c r="I9" s="44"/>
      <c r="J9"/>
    </row>
    <row r="10" spans="1:10">
      <c r="C10" s="45" t="s">
        <v>24</v>
      </c>
      <c r="D10" s="46"/>
      <c r="E10" s="48"/>
      <c r="F10" s="48"/>
      <c r="G10" s="48"/>
      <c r="H10" s="48"/>
      <c r="I10" s="48"/>
    </row>
    <row r="11" spans="1:10">
      <c r="C11" s="45" t="s">
        <v>1</v>
      </c>
      <c r="D11" s="49">
        <v>46054</v>
      </c>
      <c r="E11" s="50" t="s">
        <v>2</v>
      </c>
      <c r="F11" s="49">
        <v>46081</v>
      </c>
      <c r="G11" s="51" t="s">
        <v>3</v>
      </c>
      <c r="H11" s="48"/>
    </row>
    <row r="12" spans="1:10">
      <c r="B12" s="48"/>
      <c r="C12" s="48"/>
      <c r="D12" s="52"/>
      <c r="E12" s="52"/>
      <c r="F12" s="48"/>
      <c r="G12" s="48"/>
      <c r="J12"/>
    </row>
    <row r="13" spans="1:10">
      <c r="B13" s="48"/>
      <c r="C13" s="48"/>
      <c r="D13" s="52"/>
      <c r="E13" s="53" t="s">
        <v>4</v>
      </c>
      <c r="F13" s="48"/>
      <c r="G13" s="48"/>
      <c r="H13" s="53"/>
      <c r="J13"/>
    </row>
    <row r="14" spans="1:10" ht="24">
      <c r="B14" s="74" t="s">
        <v>18</v>
      </c>
      <c r="C14" s="75" t="s">
        <v>27</v>
      </c>
      <c r="D14" s="76" t="s">
        <v>19</v>
      </c>
      <c r="E14" s="122" t="s">
        <v>52</v>
      </c>
    </row>
    <row r="15" spans="1:10">
      <c r="B15" s="79">
        <v>1</v>
      </c>
      <c r="C15" s="80">
        <v>2</v>
      </c>
      <c r="D15" s="81">
        <v>3</v>
      </c>
      <c r="E15" s="121">
        <v>4</v>
      </c>
    </row>
    <row r="16" spans="1:10" ht="14.25" customHeight="1">
      <c r="B16" s="77">
        <f>Sheet2!K40</f>
        <v>0</v>
      </c>
      <c r="C16" s="78">
        <f>Sheet3!Z39+Sheet4!Z39+E16*Sheet5!F39+E16*Sheet6!F10</f>
        <v>0</v>
      </c>
      <c r="D16" s="123"/>
      <c r="E16" s="124"/>
    </row>
    <row r="17" spans="2:9">
      <c r="C17" s="52"/>
      <c r="D17" s="72"/>
      <c r="G17" s="52"/>
    </row>
    <row r="18" spans="2:9">
      <c r="C18" s="52"/>
      <c r="D18" s="72"/>
      <c r="G18" s="52"/>
    </row>
    <row r="19" spans="2:9">
      <c r="C19" s="52"/>
      <c r="D19" s="72"/>
      <c r="G19" s="52"/>
    </row>
    <row r="20" spans="2:9">
      <c r="C20" s="52"/>
      <c r="D20" s="72"/>
      <c r="G20" s="52"/>
    </row>
    <row r="21" spans="2:9">
      <c r="C21" s="52"/>
      <c r="D21" s="72"/>
      <c r="G21" s="52"/>
    </row>
    <row r="22" spans="2:9">
      <c r="C22" s="52"/>
      <c r="D22" s="72"/>
      <c r="G22" s="52"/>
    </row>
    <row r="23" spans="2:9">
      <c r="C23" s="52"/>
      <c r="D23" s="72"/>
      <c r="G23" s="52"/>
    </row>
    <row r="24" spans="2:9">
      <c r="C24" s="52"/>
      <c r="D24" s="72"/>
      <c r="G24" s="52"/>
    </row>
    <row r="25" spans="2:9">
      <c r="C25" s="52"/>
      <c r="D25" s="72"/>
      <c r="G25" s="52"/>
    </row>
    <row r="26" spans="2:9">
      <c r="C26" s="52"/>
      <c r="D26" s="72"/>
      <c r="G26" s="52"/>
    </row>
    <row r="27" spans="2:9">
      <c r="C27" s="52"/>
      <c r="D27" s="72"/>
      <c r="G27" s="52"/>
    </row>
    <row r="28" spans="2:9">
      <c r="C28" s="47"/>
      <c r="D28" s="73"/>
      <c r="G28" s="47"/>
    </row>
    <row r="29" spans="2:9">
      <c r="B29" s="47"/>
      <c r="C29" s="47"/>
      <c r="D29" s="47"/>
      <c r="E29" s="47"/>
      <c r="F29" s="47"/>
      <c r="I29" s="47"/>
    </row>
    <row r="30" spans="2:9" ht="32.25" customHeight="1">
      <c r="B30" s="216" t="s">
        <v>53</v>
      </c>
      <c r="C30" s="218" t="s">
        <v>46</v>
      </c>
      <c r="D30" s="220"/>
      <c r="E30" s="221"/>
    </row>
    <row r="31" spans="2:9" ht="30.75" customHeight="1">
      <c r="B31" s="217"/>
      <c r="C31" s="219"/>
      <c r="D31" s="220"/>
      <c r="E31" s="221"/>
    </row>
    <row r="32" spans="2:9">
      <c r="B32" s="79" t="s">
        <v>28</v>
      </c>
      <c r="C32" s="114" t="s">
        <v>48</v>
      </c>
      <c r="D32" s="113"/>
      <c r="E32" s="113"/>
    </row>
    <row r="33" spans="2:9">
      <c r="B33" s="119" t="str">
        <f>IF(C16=0,"",B16/C16)</f>
        <v/>
      </c>
      <c r="C33" s="116" t="e">
        <f>D16/$B$16</f>
        <v>#DIV/0!</v>
      </c>
      <c r="D33" s="112"/>
      <c r="E33" s="112"/>
    </row>
    <row r="34" spans="2:9">
      <c r="B34" s="47"/>
      <c r="C34" s="117" t="e">
        <f>D17/$B$16</f>
        <v>#DIV/0!</v>
      </c>
      <c r="D34" s="47"/>
      <c r="F34" s="47"/>
      <c r="G34" s="47"/>
    </row>
    <row r="35" spans="2:9">
      <c r="B35" s="47"/>
      <c r="C35" s="117" t="e">
        <f>D18/$B$16</f>
        <v>#DIV/0!</v>
      </c>
      <c r="D35" s="47"/>
      <c r="F35" s="47"/>
      <c r="G35" s="47"/>
    </row>
    <row r="36" spans="2:9">
      <c r="B36" s="47"/>
      <c r="C36" s="117" t="e">
        <f>D19/$B$16</f>
        <v>#DIV/0!</v>
      </c>
      <c r="D36" s="47"/>
      <c r="F36" s="47"/>
      <c r="G36" s="47"/>
    </row>
    <row r="37" spans="2:9">
      <c r="B37" s="47"/>
      <c r="C37" s="117" t="e">
        <f>D20/$B$16</f>
        <v>#DIV/0!</v>
      </c>
      <c r="D37" s="47"/>
      <c r="F37" s="47"/>
      <c r="G37" s="47"/>
    </row>
    <row r="38" spans="2:9">
      <c r="B38" s="47"/>
      <c r="C38" s="117" t="e">
        <f t="shared" ref="C38:C45" si="0">D21/$B$16</f>
        <v>#DIV/0!</v>
      </c>
      <c r="D38" s="47"/>
      <c r="F38" s="47"/>
      <c r="G38" s="47"/>
    </row>
    <row r="39" spans="2:9">
      <c r="B39" s="47"/>
      <c r="C39" s="117" t="e">
        <f t="shared" si="0"/>
        <v>#DIV/0!</v>
      </c>
      <c r="D39" s="47"/>
      <c r="F39" s="47"/>
      <c r="G39" s="47"/>
    </row>
    <row r="40" spans="2:9">
      <c r="B40" s="47"/>
      <c r="C40" s="117" t="e">
        <f t="shared" si="0"/>
        <v>#DIV/0!</v>
      </c>
      <c r="D40" s="47"/>
      <c r="F40" s="47"/>
      <c r="G40" s="47"/>
    </row>
    <row r="41" spans="2:9">
      <c r="B41" s="47"/>
      <c r="C41" s="117" t="e">
        <f t="shared" si="0"/>
        <v>#DIV/0!</v>
      </c>
      <c r="D41" s="47"/>
      <c r="F41" s="47"/>
      <c r="G41" s="47"/>
    </row>
    <row r="42" spans="2:9">
      <c r="B42" s="47"/>
      <c r="C42" s="117" t="e">
        <f t="shared" si="0"/>
        <v>#DIV/0!</v>
      </c>
      <c r="D42" s="47"/>
      <c r="F42" s="47"/>
      <c r="G42" s="47"/>
    </row>
    <row r="43" spans="2:9">
      <c r="B43" s="47"/>
      <c r="C43" s="117" t="e">
        <f t="shared" si="0"/>
        <v>#DIV/0!</v>
      </c>
      <c r="D43" s="47"/>
      <c r="F43" s="47"/>
      <c r="G43" s="47"/>
    </row>
    <row r="44" spans="2:9">
      <c r="B44" s="47"/>
      <c r="C44" s="117" t="e">
        <f t="shared" si="0"/>
        <v>#DIV/0!</v>
      </c>
      <c r="D44" s="47"/>
      <c r="F44" s="47"/>
      <c r="G44" s="47"/>
    </row>
    <row r="45" spans="2:9">
      <c r="B45" s="47"/>
      <c r="C45" s="118" t="e">
        <f t="shared" si="0"/>
        <v>#DIV/0!</v>
      </c>
      <c r="D45" s="47"/>
      <c r="F45" s="47"/>
      <c r="G45" s="47"/>
    </row>
    <row r="46" spans="2:9">
      <c r="B46" s="47"/>
      <c r="C46" s="47"/>
      <c r="D46" s="47"/>
      <c r="E46" s="47"/>
      <c r="F46" s="171" t="s">
        <v>4</v>
      </c>
      <c r="G46" s="47"/>
      <c r="H46" s="47"/>
      <c r="I46" s="47"/>
    </row>
    <row r="47" spans="2:9">
      <c r="B47" s="222" t="s">
        <v>79</v>
      </c>
      <c r="C47" s="223"/>
      <c r="D47" s="223"/>
      <c r="E47" s="223"/>
      <c r="F47" s="224"/>
      <c r="G47" s="47"/>
      <c r="H47" s="47"/>
      <c r="I47" s="47"/>
    </row>
    <row r="48" spans="2:9" ht="61.5">
      <c r="B48" s="160" t="s">
        <v>80</v>
      </c>
      <c r="C48" s="161" t="s">
        <v>81</v>
      </c>
      <c r="D48" s="161" t="s">
        <v>82</v>
      </c>
      <c r="E48" s="161" t="s">
        <v>83</v>
      </c>
      <c r="F48" s="162" t="s">
        <v>84</v>
      </c>
      <c r="G48" s="47"/>
      <c r="H48" s="47"/>
      <c r="I48" s="47"/>
    </row>
    <row r="49" spans="2:9">
      <c r="B49" s="163" t="s">
        <v>85</v>
      </c>
      <c r="C49" s="164"/>
      <c r="D49" s="164"/>
      <c r="E49" s="165" t="e">
        <f>D49/C49</f>
        <v>#DIV/0!</v>
      </c>
      <c r="F49" s="166"/>
      <c r="G49" s="47"/>
      <c r="H49" s="47"/>
      <c r="I49" s="47"/>
    </row>
    <row r="50" spans="2:9">
      <c r="B50" s="167" t="s">
        <v>86</v>
      </c>
      <c r="C50" s="168"/>
      <c r="D50" s="168"/>
      <c r="E50" s="169" t="e">
        <f>D50/C50</f>
        <v>#DIV/0!</v>
      </c>
      <c r="F50" s="170"/>
      <c r="G50" s="47"/>
      <c r="H50" s="47"/>
      <c r="I50" s="47"/>
    </row>
    <row r="51" spans="2:9">
      <c r="B51" s="47"/>
      <c r="C51" s="47"/>
      <c r="D51" s="47"/>
      <c r="E51" s="47"/>
      <c r="F51" s="47"/>
      <c r="G51" s="47"/>
      <c r="H51" s="47"/>
      <c r="I51" s="47"/>
    </row>
    <row r="52" spans="2:9">
      <c r="B52" s="47"/>
      <c r="C52" s="47"/>
      <c r="D52" s="47"/>
      <c r="E52" s="47"/>
      <c r="F52" s="47"/>
      <c r="G52" s="47"/>
      <c r="H52" s="47"/>
      <c r="I52" s="47"/>
    </row>
    <row r="53" spans="2:9">
      <c r="B53" s="47"/>
      <c r="C53" s="47"/>
      <c r="D53" s="47"/>
      <c r="E53" s="47"/>
      <c r="F53" s="47"/>
      <c r="G53" s="47"/>
      <c r="H53" s="47"/>
      <c r="I53" s="47"/>
    </row>
    <row r="54" spans="2:9">
      <c r="B54" s="47"/>
      <c r="C54" s="47"/>
      <c r="D54" s="47"/>
      <c r="E54" s="47"/>
      <c r="F54" s="47"/>
      <c r="G54" s="47"/>
      <c r="H54" s="47"/>
      <c r="I54" s="47"/>
    </row>
    <row r="55" spans="2:9">
      <c r="B55" s="47"/>
      <c r="C55" s="47"/>
      <c r="D55" s="47"/>
      <c r="E55" s="47"/>
      <c r="F55" s="47"/>
      <c r="G55" s="47"/>
      <c r="H55" s="47"/>
      <c r="I55" s="47"/>
    </row>
    <row r="56" spans="2:9">
      <c r="B56" s="47"/>
      <c r="C56" s="47"/>
      <c r="D56" s="47"/>
      <c r="E56" s="47"/>
      <c r="F56" s="47"/>
      <c r="G56" s="47"/>
      <c r="H56" s="47"/>
      <c r="I56" s="47"/>
    </row>
    <row r="57" spans="2:9">
      <c r="B57" s="47"/>
      <c r="C57" s="47"/>
      <c r="D57" s="47"/>
      <c r="E57" s="47"/>
      <c r="F57" s="47"/>
      <c r="G57" s="47"/>
      <c r="H57" s="47"/>
      <c r="I57" s="47"/>
    </row>
    <row r="58" spans="2:9">
      <c r="B58" s="47"/>
      <c r="C58" s="47"/>
      <c r="D58" s="47"/>
      <c r="E58" s="47"/>
      <c r="F58" s="47"/>
      <c r="G58" s="47"/>
      <c r="H58" s="47"/>
      <c r="I58" s="47"/>
    </row>
    <row r="59" spans="2:9">
      <c r="B59" s="47"/>
      <c r="C59" s="47"/>
      <c r="D59" s="47"/>
      <c r="E59" s="47"/>
      <c r="F59" s="47"/>
      <c r="G59" s="47"/>
      <c r="H59" s="47"/>
      <c r="I59" s="47"/>
    </row>
    <row r="60" spans="2:9">
      <c r="B60" s="47"/>
      <c r="C60" s="47"/>
      <c r="D60" s="47"/>
      <c r="E60" s="47"/>
      <c r="F60" s="47"/>
      <c r="G60" s="47"/>
      <c r="H60" s="47"/>
      <c r="I60" s="47"/>
    </row>
    <row r="61" spans="2:9">
      <c r="B61" s="47"/>
      <c r="C61" s="47"/>
      <c r="D61" s="47"/>
      <c r="E61" s="47"/>
      <c r="F61" s="47"/>
      <c r="G61" s="47"/>
      <c r="H61" s="47"/>
      <c r="I61" s="47"/>
    </row>
    <row r="62" spans="2:9">
      <c r="B62" s="47"/>
      <c r="C62" s="47"/>
      <c r="D62" s="47"/>
      <c r="E62" s="47"/>
      <c r="F62" s="47"/>
      <c r="G62" s="47"/>
      <c r="H62" s="47"/>
      <c r="I62" s="47"/>
    </row>
    <row r="63" spans="2:9">
      <c r="B63" s="47"/>
      <c r="C63" s="47"/>
      <c r="D63" s="47"/>
      <c r="E63" s="47"/>
      <c r="F63" s="47"/>
      <c r="G63" s="47"/>
      <c r="H63" s="47"/>
      <c r="I63" s="47"/>
    </row>
    <row r="64" spans="2:9">
      <c r="B64" s="47"/>
      <c r="C64" s="47"/>
      <c r="D64" s="47"/>
      <c r="E64" s="47"/>
      <c r="F64" s="47"/>
      <c r="G64" s="47"/>
      <c r="H64" s="47"/>
      <c r="I64" s="47"/>
    </row>
    <row r="65" spans="2:9">
      <c r="B65" s="47"/>
      <c r="C65" s="47"/>
      <c r="D65" s="47"/>
      <c r="E65" s="47"/>
      <c r="F65" s="47"/>
      <c r="G65" s="47"/>
      <c r="H65" s="47"/>
      <c r="I65" s="47"/>
    </row>
    <row r="66" spans="2:9">
      <c r="B66" s="47"/>
      <c r="C66" s="47"/>
      <c r="D66" s="47"/>
      <c r="E66" s="47"/>
      <c r="F66" s="47"/>
      <c r="G66" s="47"/>
      <c r="H66" s="47"/>
      <c r="I66" s="47"/>
    </row>
    <row r="67" spans="2:9">
      <c r="B67" s="47"/>
      <c r="C67" s="47"/>
      <c r="D67" s="47"/>
      <c r="E67" s="47"/>
      <c r="F67" s="47"/>
      <c r="G67" s="47"/>
      <c r="H67" s="47"/>
      <c r="I67" s="47"/>
    </row>
    <row r="68" spans="2:9">
      <c r="B68" s="47"/>
      <c r="C68" s="47"/>
      <c r="D68" s="47"/>
      <c r="E68" s="47"/>
      <c r="F68" s="47"/>
      <c r="G68" s="47"/>
      <c r="H68" s="47"/>
      <c r="I68" s="47"/>
    </row>
    <row r="69" spans="2:9">
      <c r="B69" s="47"/>
      <c r="D69" s="70" t="s">
        <v>49</v>
      </c>
      <c r="E69" s="106"/>
      <c r="F69" s="47"/>
      <c r="G69" s="47"/>
      <c r="H69" s="47"/>
      <c r="I69" s="47"/>
    </row>
    <row r="70" spans="2:9">
      <c r="D70" s="71" t="s">
        <v>21</v>
      </c>
      <c r="E70" s="47"/>
      <c r="F70" s="47"/>
      <c r="G70" s="47"/>
      <c r="H70" s="47"/>
      <c r="I70" s="47"/>
    </row>
    <row r="71" spans="2:9">
      <c r="B71" s="45" t="s">
        <v>20</v>
      </c>
      <c r="D71" s="70" t="s">
        <v>43</v>
      </c>
      <c r="E71" s="106"/>
      <c r="F71" s="47"/>
      <c r="G71" s="47"/>
      <c r="H71" s="47"/>
      <c r="I71" s="47"/>
    </row>
    <row r="72" spans="2:9">
      <c r="B72" s="47"/>
      <c r="C72" s="47"/>
      <c r="D72" s="47"/>
      <c r="E72" s="47"/>
      <c r="F72" s="47"/>
      <c r="G72" s="47"/>
      <c r="H72" s="47"/>
      <c r="I72" s="47"/>
    </row>
    <row r="73" spans="2:9">
      <c r="B73" s="55"/>
      <c r="C73" s="55"/>
      <c r="D73" s="55"/>
    </row>
  </sheetData>
  <sheetProtection password="A028" sheet="1"/>
  <mergeCells count="6">
    <mergeCell ref="F3:I4"/>
    <mergeCell ref="B30:B31"/>
    <mergeCell ref="C30:C31"/>
    <mergeCell ref="D30:D31"/>
    <mergeCell ref="E30:E31"/>
    <mergeCell ref="B47:F47"/>
  </mergeCells>
  <phoneticPr fontId="0" type="noConversion"/>
  <dataValidations count="1">
    <dataValidation type="date" operator="greaterThanOrEqual" allowBlank="1" showInputMessage="1" showErrorMessage="1" errorTitle="Error" error="You must enter a date in this format_x000a_                  dd/mm/yy" promptTitle="Warning" prompt="You must enter a date in this format_x000a_                  dd/mm/yy" sqref="D11 F11">
      <formula1>1</formula1>
    </dataValidation>
  </dataValidations>
  <printOptions horizontalCentered="1" verticalCentered="1"/>
  <pageMargins left="0.5" right="0.5" top="0.2" bottom="0.31" header="0.18" footer="0.17"/>
  <pageSetup paperSize="9" scale="8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44"/>
  <sheetViews>
    <sheetView showGridLines="0" zoomScaleNormal="100" workbookViewId="0">
      <selection activeCell="A3" sqref="A3"/>
    </sheetView>
  </sheetViews>
  <sheetFormatPr defaultRowHeight="12.75"/>
  <cols>
    <col min="1" max="1" width="7.140625" style="19" customWidth="1"/>
    <col min="2" max="2" width="14.28515625" style="19" customWidth="1"/>
    <col min="3" max="3" width="14.140625" style="19" customWidth="1"/>
    <col min="4" max="4" width="14.28515625" style="19" customWidth="1"/>
    <col min="5" max="5" width="16.140625" style="19" customWidth="1"/>
    <col min="6" max="9" width="15.85546875" style="19" customWidth="1"/>
    <col min="10" max="10" width="15.42578125" style="19" customWidth="1"/>
    <col min="11" max="11" width="11.7109375" style="19" customWidth="1"/>
    <col min="12" max="12" width="16" style="19" customWidth="1"/>
    <col min="13" max="16384" width="9.140625" style="19"/>
  </cols>
  <sheetData>
    <row r="1" spans="1:14" s="6" customFormat="1" ht="15">
      <c r="A1" s="1"/>
      <c r="B1" s="2" t="s">
        <v>0</v>
      </c>
      <c r="C1" s="3"/>
      <c r="D1" s="4"/>
      <c r="E1" s="2"/>
      <c r="F1" s="2"/>
      <c r="G1" s="2"/>
      <c r="H1" s="3"/>
      <c r="I1" s="3"/>
      <c r="J1" s="3"/>
      <c r="K1" s="3"/>
      <c r="L1" s="5"/>
      <c r="M1" s="5"/>
      <c r="N1" s="5"/>
    </row>
    <row r="2" spans="1:14" s="6" customFormat="1" ht="15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5"/>
      <c r="M2" s="5"/>
      <c r="N2" s="5"/>
    </row>
    <row r="3" spans="1:14" s="6" customFormat="1">
      <c r="A3" s="1"/>
      <c r="B3" s="7" t="s">
        <v>1</v>
      </c>
      <c r="C3" s="8">
        <f>IF(Sheet1!D11&lt;&gt;"",Sheet1!D11,"")</f>
        <v>46054</v>
      </c>
      <c r="D3" s="9" t="s">
        <v>2</v>
      </c>
      <c r="E3" s="8">
        <f>IF(Sheet1!F11&lt;&gt;"",Sheet1!F11,"")</f>
        <v>46081</v>
      </c>
      <c r="F3" s="11"/>
      <c r="G3" s="11"/>
      <c r="H3" s="11"/>
      <c r="I3" s="11"/>
      <c r="J3" s="3"/>
      <c r="K3" s="3"/>
      <c r="L3" s="5"/>
      <c r="M3" s="5"/>
      <c r="N3" s="5"/>
    </row>
    <row r="4" spans="1:14" s="6" customFormat="1" ht="9.75" customHeight="1">
      <c r="A4" s="1"/>
      <c r="B4" s="10"/>
      <c r="C4" s="9"/>
      <c r="D4" s="10"/>
      <c r="E4" s="12"/>
      <c r="F4" s="12"/>
      <c r="G4" s="12"/>
      <c r="H4" s="3"/>
      <c r="I4" s="3"/>
      <c r="J4" s="3"/>
      <c r="K4" s="3"/>
      <c r="L4" s="13"/>
      <c r="M4" s="5"/>
      <c r="N4" s="5"/>
    </row>
    <row r="5" spans="1:14" s="6" customFormat="1">
      <c r="A5" s="14" t="s">
        <v>47</v>
      </c>
      <c r="B5" s="15"/>
      <c r="C5" s="13"/>
      <c r="D5" s="4"/>
      <c r="E5" s="16"/>
      <c r="F5" s="16"/>
      <c r="G5" s="16"/>
      <c r="H5" s="3"/>
      <c r="I5" s="3"/>
      <c r="J5" s="3"/>
      <c r="K5" s="16" t="s">
        <v>4</v>
      </c>
      <c r="L5" s="5"/>
      <c r="M5" s="5"/>
      <c r="N5" s="5"/>
    </row>
    <row r="6" spans="1:14" ht="39" customHeight="1">
      <c r="A6" s="230" t="s">
        <v>6</v>
      </c>
      <c r="B6" s="225" t="s">
        <v>7</v>
      </c>
      <c r="C6" s="225" t="s">
        <v>8</v>
      </c>
      <c r="D6" s="225" t="s">
        <v>9</v>
      </c>
      <c r="E6" s="227" t="s">
        <v>44</v>
      </c>
      <c r="F6" s="229" t="s">
        <v>29</v>
      </c>
      <c r="G6" s="229"/>
      <c r="H6" s="225" t="s">
        <v>5</v>
      </c>
      <c r="I6" s="225"/>
      <c r="J6" s="225"/>
      <c r="K6" s="226"/>
      <c r="L6" s="17"/>
      <c r="M6" s="18"/>
      <c r="N6" s="18"/>
    </row>
    <row r="7" spans="1:14" ht="48">
      <c r="A7" s="231"/>
      <c r="B7" s="232"/>
      <c r="C7" s="232"/>
      <c r="D7" s="232"/>
      <c r="E7" s="228"/>
      <c r="F7" s="82" t="s">
        <v>30</v>
      </c>
      <c r="G7" s="82" t="s">
        <v>31</v>
      </c>
      <c r="H7" s="82" t="s">
        <v>22</v>
      </c>
      <c r="I7" s="82" t="s">
        <v>32</v>
      </c>
      <c r="J7" s="83" t="s">
        <v>23</v>
      </c>
      <c r="K7" s="84" t="s">
        <v>41</v>
      </c>
      <c r="L7" s="17"/>
      <c r="M7" s="18"/>
      <c r="N7" s="18"/>
    </row>
    <row r="8" spans="1:14">
      <c r="A8" s="85"/>
      <c r="B8" s="86">
        <v>1</v>
      </c>
      <c r="C8" s="86">
        <v>2</v>
      </c>
      <c r="D8" s="86">
        <v>3</v>
      </c>
      <c r="E8" s="87">
        <v>4</v>
      </c>
      <c r="F8" s="86">
        <v>5</v>
      </c>
      <c r="G8" s="86">
        <v>6</v>
      </c>
      <c r="H8" s="86">
        <v>7</v>
      </c>
      <c r="I8" s="86">
        <v>8</v>
      </c>
      <c r="J8" s="86">
        <v>9</v>
      </c>
      <c r="K8" s="88">
        <v>10</v>
      </c>
      <c r="L8" s="17"/>
      <c r="M8" s="18"/>
      <c r="N8" s="18"/>
    </row>
    <row r="9" spans="1:14">
      <c r="A9" s="20">
        <v>1</v>
      </c>
      <c r="B9" s="21"/>
      <c r="C9" s="21"/>
      <c r="D9" s="22" t="str">
        <f>IF(TRIM(B9)&lt;&gt;"",SUM(B9:C9),"")</f>
        <v/>
      </c>
      <c r="E9" s="21"/>
      <c r="F9" s="21"/>
      <c r="G9" s="21"/>
      <c r="H9" s="22" t="str">
        <f>IF(TRIM(B9)&lt;&gt;"",B9-E9,"")</f>
        <v/>
      </c>
      <c r="I9" s="22" t="str">
        <f t="shared" ref="I9:I39" si="0">IF(TRIM(B9)&lt;&gt;"",C9+F9-G9,"")</f>
        <v/>
      </c>
      <c r="J9" s="22" t="str">
        <f>IF(TRIM(I9)&lt;&gt;"",IF(H9&lt;=0,IF(I9&lt;=0,I9,0),IF(I9&gt;H9/2,H9/2,I9))," ")</f>
        <v xml:space="preserve"> </v>
      </c>
      <c r="K9" s="23" t="str">
        <f>IF(TRIM(B9)&lt;&gt;"",SUM(H9,J9),"")</f>
        <v/>
      </c>
      <c r="L9" s="17"/>
      <c r="M9" s="18"/>
      <c r="N9" s="18"/>
    </row>
    <row r="10" spans="1:14">
      <c r="A10" s="20">
        <v>2</v>
      </c>
      <c r="B10" s="21"/>
      <c r="C10" s="21"/>
      <c r="D10" s="22" t="str">
        <f t="shared" ref="D10:D39" si="1">IF(TRIM(B10)&lt;&gt;"",SUM(B10:C10),"")</f>
        <v/>
      </c>
      <c r="E10" s="21"/>
      <c r="F10" s="21"/>
      <c r="G10" s="21"/>
      <c r="H10" s="22" t="str">
        <f t="shared" ref="H10:H39" si="2">IF(TRIM(B10)&lt;&gt;"",B10-E10,"")</f>
        <v/>
      </c>
      <c r="I10" s="22" t="str">
        <f t="shared" si="0"/>
        <v/>
      </c>
      <c r="J10" s="22" t="str">
        <f t="shared" ref="J10:J39" si="3">IF(TRIM(I10)&lt;&gt;"",IF(H10&lt;=0,IF(I10&lt;=0,I10,0),IF(I10&gt;H10/2,H10/2,I10))," ")</f>
        <v xml:space="preserve"> </v>
      </c>
      <c r="K10" s="23" t="str">
        <f t="shared" ref="K10:K39" si="4">IF(TRIM(B10)&lt;&gt;"",SUM(H10,J10),"")</f>
        <v/>
      </c>
      <c r="L10" s="17"/>
      <c r="M10" s="18"/>
      <c r="N10" s="18"/>
    </row>
    <row r="11" spans="1:14">
      <c r="A11" s="20">
        <v>3</v>
      </c>
      <c r="B11" s="21"/>
      <c r="C11" s="21"/>
      <c r="D11" s="22" t="str">
        <f t="shared" si="1"/>
        <v/>
      </c>
      <c r="E11" s="21"/>
      <c r="F11" s="21"/>
      <c r="G11" s="21"/>
      <c r="H11" s="22" t="str">
        <f t="shared" si="2"/>
        <v/>
      </c>
      <c r="I11" s="22" t="str">
        <f t="shared" si="0"/>
        <v/>
      </c>
      <c r="J11" s="22" t="str">
        <f t="shared" si="3"/>
        <v xml:space="preserve"> </v>
      </c>
      <c r="K11" s="23" t="str">
        <f t="shared" si="4"/>
        <v/>
      </c>
      <c r="L11" s="17"/>
      <c r="M11" s="18"/>
      <c r="N11" s="18"/>
    </row>
    <row r="12" spans="1:14">
      <c r="A12" s="20">
        <v>4</v>
      </c>
      <c r="B12" s="21"/>
      <c r="C12" s="21"/>
      <c r="D12" s="22" t="str">
        <f t="shared" si="1"/>
        <v/>
      </c>
      <c r="E12" s="21"/>
      <c r="F12" s="21"/>
      <c r="G12" s="21"/>
      <c r="H12" s="22" t="str">
        <f t="shared" si="2"/>
        <v/>
      </c>
      <c r="I12" s="22" t="str">
        <f t="shared" si="0"/>
        <v/>
      </c>
      <c r="J12" s="22" t="str">
        <f t="shared" si="3"/>
        <v xml:space="preserve"> </v>
      </c>
      <c r="K12" s="23" t="str">
        <f t="shared" si="4"/>
        <v/>
      </c>
      <c r="L12" s="17"/>
      <c r="M12" s="18"/>
      <c r="N12" s="18"/>
    </row>
    <row r="13" spans="1:14">
      <c r="A13" s="20">
        <v>5</v>
      </c>
      <c r="B13" s="21"/>
      <c r="C13" s="21"/>
      <c r="D13" s="22" t="str">
        <f t="shared" si="1"/>
        <v/>
      </c>
      <c r="E13" s="21"/>
      <c r="F13" s="21"/>
      <c r="G13" s="21"/>
      <c r="H13" s="22" t="str">
        <f t="shared" si="2"/>
        <v/>
      </c>
      <c r="I13" s="22" t="str">
        <f t="shared" si="0"/>
        <v/>
      </c>
      <c r="J13" s="22" t="str">
        <f t="shared" si="3"/>
        <v xml:space="preserve"> </v>
      </c>
      <c r="K13" s="23" t="str">
        <f t="shared" si="4"/>
        <v/>
      </c>
      <c r="L13" s="17"/>
      <c r="M13" s="18"/>
      <c r="N13" s="18"/>
    </row>
    <row r="14" spans="1:14">
      <c r="A14" s="20">
        <v>6</v>
      </c>
      <c r="B14" s="21"/>
      <c r="C14" s="21"/>
      <c r="D14" s="22" t="str">
        <f t="shared" si="1"/>
        <v/>
      </c>
      <c r="E14" s="21"/>
      <c r="F14" s="21"/>
      <c r="G14" s="21"/>
      <c r="H14" s="22" t="str">
        <f t="shared" si="2"/>
        <v/>
      </c>
      <c r="I14" s="22" t="str">
        <f t="shared" si="0"/>
        <v/>
      </c>
      <c r="J14" s="22" t="str">
        <f t="shared" si="3"/>
        <v xml:space="preserve"> </v>
      </c>
      <c r="K14" s="23" t="str">
        <f t="shared" si="4"/>
        <v/>
      </c>
      <c r="L14" s="17"/>
      <c r="M14" s="18"/>
      <c r="N14" s="18"/>
    </row>
    <row r="15" spans="1:14">
      <c r="A15" s="20">
        <v>7</v>
      </c>
      <c r="B15" s="21"/>
      <c r="C15" s="21"/>
      <c r="D15" s="22" t="str">
        <f t="shared" si="1"/>
        <v/>
      </c>
      <c r="E15" s="21"/>
      <c r="F15" s="21"/>
      <c r="G15" s="21"/>
      <c r="H15" s="22" t="str">
        <f t="shared" si="2"/>
        <v/>
      </c>
      <c r="I15" s="22" t="str">
        <f t="shared" si="0"/>
        <v/>
      </c>
      <c r="J15" s="22" t="str">
        <f t="shared" si="3"/>
        <v xml:space="preserve"> </v>
      </c>
      <c r="K15" s="23" t="str">
        <f t="shared" si="4"/>
        <v/>
      </c>
      <c r="L15" s="17"/>
      <c r="M15" s="18"/>
      <c r="N15" s="18"/>
    </row>
    <row r="16" spans="1:14">
      <c r="A16" s="20">
        <v>8</v>
      </c>
      <c r="B16" s="21"/>
      <c r="C16" s="21"/>
      <c r="D16" s="22" t="str">
        <f t="shared" si="1"/>
        <v/>
      </c>
      <c r="E16" s="21"/>
      <c r="F16" s="21"/>
      <c r="G16" s="21"/>
      <c r="H16" s="22" t="str">
        <f t="shared" si="2"/>
        <v/>
      </c>
      <c r="I16" s="22" t="str">
        <f t="shared" si="0"/>
        <v/>
      </c>
      <c r="J16" s="22" t="str">
        <f t="shared" si="3"/>
        <v xml:space="preserve"> </v>
      </c>
      <c r="K16" s="23" t="str">
        <f t="shared" si="4"/>
        <v/>
      </c>
      <c r="L16" s="17"/>
      <c r="M16" s="18"/>
      <c r="N16" s="18"/>
    </row>
    <row r="17" spans="1:14">
      <c r="A17" s="20">
        <v>9</v>
      </c>
      <c r="B17" s="21"/>
      <c r="C17" s="21"/>
      <c r="D17" s="22" t="str">
        <f t="shared" si="1"/>
        <v/>
      </c>
      <c r="E17" s="21"/>
      <c r="F17" s="21"/>
      <c r="G17" s="21"/>
      <c r="H17" s="22" t="str">
        <f t="shared" si="2"/>
        <v/>
      </c>
      <c r="I17" s="22" t="str">
        <f t="shared" si="0"/>
        <v/>
      </c>
      <c r="J17" s="22" t="str">
        <f t="shared" si="3"/>
        <v xml:space="preserve"> </v>
      </c>
      <c r="K17" s="23" t="str">
        <f t="shared" si="4"/>
        <v/>
      </c>
      <c r="L17" s="17"/>
      <c r="M17" s="18"/>
      <c r="N17" s="18"/>
    </row>
    <row r="18" spans="1:14">
      <c r="A18" s="20">
        <v>10</v>
      </c>
      <c r="B18" s="21"/>
      <c r="C18" s="21"/>
      <c r="D18" s="22" t="str">
        <f t="shared" si="1"/>
        <v/>
      </c>
      <c r="E18" s="21"/>
      <c r="F18" s="21"/>
      <c r="G18" s="21"/>
      <c r="H18" s="22" t="str">
        <f t="shared" si="2"/>
        <v/>
      </c>
      <c r="I18" s="22" t="str">
        <f t="shared" si="0"/>
        <v/>
      </c>
      <c r="J18" s="22" t="str">
        <f t="shared" si="3"/>
        <v xml:space="preserve"> </v>
      </c>
      <c r="K18" s="23" t="str">
        <f t="shared" si="4"/>
        <v/>
      </c>
      <c r="L18" s="17"/>
      <c r="M18" s="18"/>
      <c r="N18" s="18"/>
    </row>
    <row r="19" spans="1:14">
      <c r="A19" s="20">
        <v>11</v>
      </c>
      <c r="B19" s="21"/>
      <c r="C19" s="21"/>
      <c r="D19" s="22" t="str">
        <f t="shared" si="1"/>
        <v/>
      </c>
      <c r="E19" s="21"/>
      <c r="F19" s="21"/>
      <c r="G19" s="21"/>
      <c r="H19" s="22" t="str">
        <f t="shared" si="2"/>
        <v/>
      </c>
      <c r="I19" s="22" t="str">
        <f t="shared" si="0"/>
        <v/>
      </c>
      <c r="J19" s="22" t="str">
        <f t="shared" si="3"/>
        <v xml:space="preserve"> </v>
      </c>
      <c r="K19" s="23" t="str">
        <f t="shared" si="4"/>
        <v/>
      </c>
      <c r="L19" s="17"/>
      <c r="M19" s="18"/>
      <c r="N19" s="18"/>
    </row>
    <row r="20" spans="1:14">
      <c r="A20" s="20">
        <v>12</v>
      </c>
      <c r="B20" s="21"/>
      <c r="C20" s="21"/>
      <c r="D20" s="22" t="str">
        <f t="shared" si="1"/>
        <v/>
      </c>
      <c r="E20" s="21"/>
      <c r="F20" s="21"/>
      <c r="G20" s="21"/>
      <c r="H20" s="22" t="str">
        <f t="shared" si="2"/>
        <v/>
      </c>
      <c r="I20" s="22" t="str">
        <f t="shared" si="0"/>
        <v/>
      </c>
      <c r="J20" s="22" t="str">
        <f t="shared" si="3"/>
        <v xml:space="preserve"> </v>
      </c>
      <c r="K20" s="23" t="str">
        <f t="shared" si="4"/>
        <v/>
      </c>
      <c r="L20" s="17"/>
      <c r="M20" s="18"/>
      <c r="N20" s="18"/>
    </row>
    <row r="21" spans="1:14">
      <c r="A21" s="20">
        <v>13</v>
      </c>
      <c r="B21" s="21"/>
      <c r="C21" s="21"/>
      <c r="D21" s="22" t="str">
        <f t="shared" si="1"/>
        <v/>
      </c>
      <c r="E21" s="21"/>
      <c r="F21" s="21"/>
      <c r="G21" s="21"/>
      <c r="H21" s="22" t="str">
        <f t="shared" si="2"/>
        <v/>
      </c>
      <c r="I21" s="22" t="str">
        <f t="shared" si="0"/>
        <v/>
      </c>
      <c r="J21" s="22" t="str">
        <f t="shared" si="3"/>
        <v xml:space="preserve"> </v>
      </c>
      <c r="K21" s="23" t="str">
        <f t="shared" si="4"/>
        <v/>
      </c>
      <c r="L21" s="17"/>
      <c r="M21" s="18"/>
      <c r="N21" s="18"/>
    </row>
    <row r="22" spans="1:14">
      <c r="A22" s="20">
        <v>14</v>
      </c>
      <c r="B22" s="21"/>
      <c r="C22" s="21"/>
      <c r="D22" s="22" t="str">
        <f t="shared" si="1"/>
        <v/>
      </c>
      <c r="E22" s="21"/>
      <c r="F22" s="21"/>
      <c r="G22" s="21"/>
      <c r="H22" s="22" t="str">
        <f t="shared" si="2"/>
        <v/>
      </c>
      <c r="I22" s="22" t="str">
        <f t="shared" si="0"/>
        <v/>
      </c>
      <c r="J22" s="22" t="str">
        <f t="shared" si="3"/>
        <v xml:space="preserve"> </v>
      </c>
      <c r="K22" s="23" t="str">
        <f t="shared" si="4"/>
        <v/>
      </c>
      <c r="L22" s="17"/>
      <c r="M22" s="18"/>
      <c r="N22" s="18"/>
    </row>
    <row r="23" spans="1:14">
      <c r="A23" s="20">
        <v>15</v>
      </c>
      <c r="B23" s="21"/>
      <c r="C23" s="21"/>
      <c r="D23" s="22" t="str">
        <f t="shared" si="1"/>
        <v/>
      </c>
      <c r="E23" s="21"/>
      <c r="F23" s="21"/>
      <c r="G23" s="21"/>
      <c r="H23" s="22" t="str">
        <f t="shared" si="2"/>
        <v/>
      </c>
      <c r="I23" s="22" t="str">
        <f t="shared" si="0"/>
        <v/>
      </c>
      <c r="J23" s="22" t="str">
        <f t="shared" si="3"/>
        <v xml:space="preserve"> </v>
      </c>
      <c r="K23" s="23" t="str">
        <f t="shared" si="4"/>
        <v/>
      </c>
      <c r="L23" s="17"/>
      <c r="M23" s="18"/>
      <c r="N23" s="18"/>
    </row>
    <row r="24" spans="1:14">
      <c r="A24" s="20">
        <v>16</v>
      </c>
      <c r="B24" s="21"/>
      <c r="C24" s="21"/>
      <c r="D24" s="22" t="str">
        <f t="shared" si="1"/>
        <v/>
      </c>
      <c r="E24" s="21"/>
      <c r="F24" s="21"/>
      <c r="G24" s="21"/>
      <c r="H24" s="22" t="str">
        <f t="shared" si="2"/>
        <v/>
      </c>
      <c r="I24" s="22" t="str">
        <f t="shared" si="0"/>
        <v/>
      </c>
      <c r="J24" s="22" t="str">
        <f t="shared" si="3"/>
        <v xml:space="preserve"> </v>
      </c>
      <c r="K24" s="23" t="str">
        <f t="shared" si="4"/>
        <v/>
      </c>
      <c r="L24" s="17"/>
      <c r="M24" s="18"/>
      <c r="N24" s="18"/>
    </row>
    <row r="25" spans="1:14">
      <c r="A25" s="20">
        <v>17</v>
      </c>
      <c r="B25" s="21"/>
      <c r="C25" s="21"/>
      <c r="D25" s="22" t="str">
        <f t="shared" si="1"/>
        <v/>
      </c>
      <c r="E25" s="21"/>
      <c r="F25" s="21"/>
      <c r="G25" s="21"/>
      <c r="H25" s="22" t="str">
        <f t="shared" si="2"/>
        <v/>
      </c>
      <c r="I25" s="22" t="str">
        <f t="shared" si="0"/>
        <v/>
      </c>
      <c r="J25" s="22" t="str">
        <f t="shared" si="3"/>
        <v xml:space="preserve"> </v>
      </c>
      <c r="K25" s="23" t="str">
        <f t="shared" si="4"/>
        <v/>
      </c>
      <c r="L25" s="17"/>
      <c r="M25" s="18"/>
      <c r="N25" s="18"/>
    </row>
    <row r="26" spans="1:14">
      <c r="A26" s="20">
        <v>18</v>
      </c>
      <c r="B26" s="21"/>
      <c r="C26" s="21"/>
      <c r="D26" s="22" t="str">
        <f t="shared" si="1"/>
        <v/>
      </c>
      <c r="E26" s="21"/>
      <c r="F26" s="21"/>
      <c r="G26" s="21"/>
      <c r="H26" s="22" t="str">
        <f t="shared" si="2"/>
        <v/>
      </c>
      <c r="I26" s="22" t="str">
        <f t="shared" si="0"/>
        <v/>
      </c>
      <c r="J26" s="22" t="str">
        <f t="shared" si="3"/>
        <v xml:space="preserve"> </v>
      </c>
      <c r="K26" s="23" t="str">
        <f t="shared" si="4"/>
        <v/>
      </c>
      <c r="L26" s="17"/>
      <c r="M26" s="18"/>
      <c r="N26" s="18"/>
    </row>
    <row r="27" spans="1:14">
      <c r="A27" s="20">
        <v>19</v>
      </c>
      <c r="B27" s="21"/>
      <c r="C27" s="21"/>
      <c r="D27" s="22" t="str">
        <f t="shared" si="1"/>
        <v/>
      </c>
      <c r="E27" s="21"/>
      <c r="F27" s="21"/>
      <c r="G27" s="21"/>
      <c r="H27" s="22" t="str">
        <f t="shared" si="2"/>
        <v/>
      </c>
      <c r="I27" s="22" t="str">
        <f t="shared" si="0"/>
        <v/>
      </c>
      <c r="J27" s="22" t="str">
        <f t="shared" si="3"/>
        <v xml:space="preserve"> </v>
      </c>
      <c r="K27" s="23" t="str">
        <f t="shared" si="4"/>
        <v/>
      </c>
      <c r="L27" s="17"/>
      <c r="M27" s="18"/>
      <c r="N27" s="18"/>
    </row>
    <row r="28" spans="1:14">
      <c r="A28" s="20">
        <v>20</v>
      </c>
      <c r="B28" s="21"/>
      <c r="C28" s="21"/>
      <c r="D28" s="22" t="str">
        <f t="shared" si="1"/>
        <v/>
      </c>
      <c r="E28" s="21"/>
      <c r="F28" s="21"/>
      <c r="G28" s="21"/>
      <c r="H28" s="22" t="str">
        <f t="shared" si="2"/>
        <v/>
      </c>
      <c r="I28" s="22" t="str">
        <f t="shared" si="0"/>
        <v/>
      </c>
      <c r="J28" s="22" t="str">
        <f t="shared" si="3"/>
        <v xml:space="preserve"> </v>
      </c>
      <c r="K28" s="23" t="str">
        <f t="shared" si="4"/>
        <v/>
      </c>
      <c r="L28" s="17"/>
      <c r="M28" s="18"/>
      <c r="N28" s="18"/>
    </row>
    <row r="29" spans="1:14">
      <c r="A29" s="20">
        <v>21</v>
      </c>
      <c r="B29" s="21"/>
      <c r="C29" s="21"/>
      <c r="D29" s="22" t="str">
        <f t="shared" si="1"/>
        <v/>
      </c>
      <c r="E29" s="21"/>
      <c r="F29" s="21"/>
      <c r="G29" s="21"/>
      <c r="H29" s="22" t="str">
        <f t="shared" si="2"/>
        <v/>
      </c>
      <c r="I29" s="22" t="str">
        <f t="shared" si="0"/>
        <v/>
      </c>
      <c r="J29" s="22" t="str">
        <f t="shared" si="3"/>
        <v xml:space="preserve"> </v>
      </c>
      <c r="K29" s="23" t="str">
        <f t="shared" si="4"/>
        <v/>
      </c>
      <c r="L29" s="17"/>
      <c r="M29" s="18"/>
      <c r="N29" s="18"/>
    </row>
    <row r="30" spans="1:14">
      <c r="A30" s="20">
        <v>22</v>
      </c>
      <c r="B30" s="21"/>
      <c r="C30" s="21"/>
      <c r="D30" s="22" t="str">
        <f t="shared" si="1"/>
        <v/>
      </c>
      <c r="E30" s="21"/>
      <c r="F30" s="21"/>
      <c r="G30" s="21"/>
      <c r="H30" s="22" t="str">
        <f t="shared" si="2"/>
        <v/>
      </c>
      <c r="I30" s="22" t="str">
        <f t="shared" si="0"/>
        <v/>
      </c>
      <c r="J30" s="22" t="str">
        <f t="shared" si="3"/>
        <v xml:space="preserve"> </v>
      </c>
      <c r="K30" s="23" t="str">
        <f t="shared" si="4"/>
        <v/>
      </c>
      <c r="L30" s="17"/>
      <c r="M30" s="18"/>
      <c r="N30" s="18"/>
    </row>
    <row r="31" spans="1:14">
      <c r="A31" s="20">
        <v>23</v>
      </c>
      <c r="B31" s="21"/>
      <c r="C31" s="21"/>
      <c r="D31" s="22" t="str">
        <f t="shared" si="1"/>
        <v/>
      </c>
      <c r="E31" s="21"/>
      <c r="F31" s="21"/>
      <c r="G31" s="21"/>
      <c r="H31" s="22" t="str">
        <f t="shared" si="2"/>
        <v/>
      </c>
      <c r="I31" s="22" t="str">
        <f t="shared" si="0"/>
        <v/>
      </c>
      <c r="J31" s="22" t="str">
        <f t="shared" si="3"/>
        <v xml:space="preserve"> </v>
      </c>
      <c r="K31" s="23" t="str">
        <f t="shared" si="4"/>
        <v/>
      </c>
      <c r="L31" s="17"/>
      <c r="M31" s="18"/>
      <c r="N31" s="18"/>
    </row>
    <row r="32" spans="1:14">
      <c r="A32" s="20">
        <v>24</v>
      </c>
      <c r="B32" s="21"/>
      <c r="C32" s="21"/>
      <c r="D32" s="22" t="str">
        <f t="shared" si="1"/>
        <v/>
      </c>
      <c r="E32" s="21"/>
      <c r="F32" s="21"/>
      <c r="G32" s="21"/>
      <c r="H32" s="22" t="str">
        <f t="shared" si="2"/>
        <v/>
      </c>
      <c r="I32" s="22" t="str">
        <f t="shared" si="0"/>
        <v/>
      </c>
      <c r="J32" s="22" t="str">
        <f t="shared" si="3"/>
        <v xml:space="preserve"> </v>
      </c>
      <c r="K32" s="23" t="str">
        <f t="shared" si="4"/>
        <v/>
      </c>
      <c r="L32" s="17"/>
      <c r="M32" s="18"/>
      <c r="N32" s="18"/>
    </row>
    <row r="33" spans="1:14">
      <c r="A33" s="20">
        <v>25</v>
      </c>
      <c r="B33" s="21"/>
      <c r="C33" s="21"/>
      <c r="D33" s="22" t="str">
        <f t="shared" si="1"/>
        <v/>
      </c>
      <c r="E33" s="21"/>
      <c r="F33" s="21"/>
      <c r="G33" s="21"/>
      <c r="H33" s="22" t="str">
        <f t="shared" si="2"/>
        <v/>
      </c>
      <c r="I33" s="22" t="str">
        <f t="shared" si="0"/>
        <v/>
      </c>
      <c r="J33" s="22" t="str">
        <f t="shared" si="3"/>
        <v xml:space="preserve"> </v>
      </c>
      <c r="K33" s="23" t="str">
        <f t="shared" si="4"/>
        <v/>
      </c>
      <c r="L33" s="17"/>
      <c r="M33" s="18"/>
      <c r="N33" s="18"/>
    </row>
    <row r="34" spans="1:14">
      <c r="A34" s="20">
        <v>26</v>
      </c>
      <c r="B34" s="21"/>
      <c r="C34" s="21"/>
      <c r="D34" s="22" t="str">
        <f t="shared" si="1"/>
        <v/>
      </c>
      <c r="E34" s="21"/>
      <c r="F34" s="21"/>
      <c r="G34" s="21"/>
      <c r="H34" s="22" t="str">
        <f t="shared" si="2"/>
        <v/>
      </c>
      <c r="I34" s="22" t="str">
        <f t="shared" si="0"/>
        <v/>
      </c>
      <c r="J34" s="22" t="str">
        <f t="shared" si="3"/>
        <v xml:space="preserve"> </v>
      </c>
      <c r="K34" s="23" t="str">
        <f t="shared" si="4"/>
        <v/>
      </c>
      <c r="L34" s="17"/>
      <c r="M34" s="18"/>
      <c r="N34" s="18"/>
    </row>
    <row r="35" spans="1:14">
      <c r="A35" s="20">
        <v>27</v>
      </c>
      <c r="B35" s="21"/>
      <c r="C35" s="21"/>
      <c r="D35" s="22" t="str">
        <f t="shared" si="1"/>
        <v/>
      </c>
      <c r="E35" s="21"/>
      <c r="F35" s="21"/>
      <c r="G35" s="21"/>
      <c r="H35" s="22" t="str">
        <f t="shared" si="2"/>
        <v/>
      </c>
      <c r="I35" s="22" t="str">
        <f t="shared" si="0"/>
        <v/>
      </c>
      <c r="J35" s="22" t="str">
        <f t="shared" si="3"/>
        <v xml:space="preserve"> </v>
      </c>
      <c r="K35" s="23" t="str">
        <f t="shared" si="4"/>
        <v/>
      </c>
      <c r="L35" s="17"/>
      <c r="M35" s="18"/>
      <c r="N35" s="18"/>
    </row>
    <row r="36" spans="1:14">
      <c r="A36" s="20">
        <v>28</v>
      </c>
      <c r="B36" s="21"/>
      <c r="C36" s="21"/>
      <c r="D36" s="22" t="str">
        <f t="shared" si="1"/>
        <v/>
      </c>
      <c r="E36" s="21"/>
      <c r="F36" s="21"/>
      <c r="G36" s="21"/>
      <c r="H36" s="22" t="str">
        <f t="shared" si="2"/>
        <v/>
      </c>
      <c r="I36" s="22" t="str">
        <f t="shared" si="0"/>
        <v/>
      </c>
      <c r="J36" s="22" t="str">
        <f t="shared" si="3"/>
        <v xml:space="preserve"> </v>
      </c>
      <c r="K36" s="23" t="str">
        <f t="shared" si="4"/>
        <v/>
      </c>
      <c r="L36" s="17"/>
      <c r="M36" s="18"/>
      <c r="N36" s="18"/>
    </row>
    <row r="37" spans="1:14">
      <c r="A37" s="20">
        <v>29</v>
      </c>
      <c r="B37" s="21"/>
      <c r="C37" s="21"/>
      <c r="D37" s="22" t="str">
        <f t="shared" si="1"/>
        <v/>
      </c>
      <c r="E37" s="21"/>
      <c r="F37" s="21"/>
      <c r="G37" s="21"/>
      <c r="H37" s="22" t="str">
        <f t="shared" si="2"/>
        <v/>
      </c>
      <c r="I37" s="22" t="str">
        <f t="shared" si="0"/>
        <v/>
      </c>
      <c r="J37" s="22" t="str">
        <f t="shared" si="3"/>
        <v xml:space="preserve"> </v>
      </c>
      <c r="K37" s="23" t="str">
        <f t="shared" si="4"/>
        <v/>
      </c>
      <c r="L37" s="17"/>
      <c r="M37" s="18"/>
      <c r="N37" s="18"/>
    </row>
    <row r="38" spans="1:14">
      <c r="A38" s="20">
        <v>30</v>
      </c>
      <c r="B38" s="21"/>
      <c r="C38" s="21"/>
      <c r="D38" s="22" t="str">
        <f t="shared" si="1"/>
        <v/>
      </c>
      <c r="E38" s="21"/>
      <c r="F38" s="21"/>
      <c r="G38" s="21"/>
      <c r="H38" s="22" t="str">
        <f t="shared" si="2"/>
        <v/>
      </c>
      <c r="I38" s="22" t="str">
        <f t="shared" si="0"/>
        <v/>
      </c>
      <c r="J38" s="22" t="str">
        <f t="shared" si="3"/>
        <v xml:space="preserve"> </v>
      </c>
      <c r="K38" s="23" t="str">
        <f t="shared" si="4"/>
        <v/>
      </c>
      <c r="L38" s="17"/>
      <c r="M38" s="18"/>
      <c r="N38" s="18"/>
    </row>
    <row r="39" spans="1:14">
      <c r="A39" s="24">
        <v>31</v>
      </c>
      <c r="B39" s="21"/>
      <c r="C39" s="21"/>
      <c r="D39" s="22" t="str">
        <f t="shared" si="1"/>
        <v/>
      </c>
      <c r="E39" s="21"/>
      <c r="F39" s="21"/>
      <c r="G39" s="21"/>
      <c r="H39" s="22" t="str">
        <f t="shared" si="2"/>
        <v/>
      </c>
      <c r="I39" s="22" t="str">
        <f t="shared" si="0"/>
        <v/>
      </c>
      <c r="J39" s="22" t="str">
        <f t="shared" si="3"/>
        <v xml:space="preserve"> </v>
      </c>
      <c r="K39" s="23" t="str">
        <f t="shared" si="4"/>
        <v/>
      </c>
      <c r="L39" s="17"/>
      <c r="M39" s="18"/>
      <c r="N39" s="18"/>
    </row>
    <row r="40" spans="1:14">
      <c r="A40" s="25" t="s">
        <v>10</v>
      </c>
      <c r="B40" s="111">
        <f t="shared" ref="B40:J40" si="5">SUM(B9:B39)/(Date2-Date1+1)</f>
        <v>0</v>
      </c>
      <c r="C40" s="111">
        <f t="shared" si="5"/>
        <v>0</v>
      </c>
      <c r="D40" s="111">
        <f t="shared" si="5"/>
        <v>0</v>
      </c>
      <c r="E40" s="111">
        <f t="shared" si="5"/>
        <v>0</v>
      </c>
      <c r="F40" s="111">
        <f t="shared" si="5"/>
        <v>0</v>
      </c>
      <c r="G40" s="111">
        <f t="shared" si="5"/>
        <v>0</v>
      </c>
      <c r="H40" s="111">
        <f t="shared" si="5"/>
        <v>0</v>
      </c>
      <c r="I40" s="111">
        <f t="shared" si="5"/>
        <v>0</v>
      </c>
      <c r="J40" s="111">
        <f t="shared" si="5"/>
        <v>0</v>
      </c>
      <c r="K40" s="26">
        <f>SUM(K9:K39)/(Date2-Date1+1)</f>
        <v>0</v>
      </c>
      <c r="L40" s="17"/>
      <c r="M40" s="18"/>
      <c r="N40" s="18"/>
    </row>
    <row r="41" spans="1:14">
      <c r="A41" s="18"/>
      <c r="B41" s="18"/>
      <c r="C41" s="18"/>
      <c r="D41" s="5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s="40" customFormat="1">
      <c r="A42" s="18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8"/>
      <c r="M42" s="38"/>
      <c r="N42" s="38"/>
    </row>
    <row r="43" spans="1:14">
      <c r="A43" s="18"/>
      <c r="B43" s="18"/>
      <c r="C43" s="18"/>
      <c r="D43" s="5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>
      <c r="A44" s="18"/>
      <c r="B44" s="18"/>
      <c r="C44" s="18"/>
      <c r="D44" s="5"/>
      <c r="E44" s="18"/>
      <c r="F44" s="18"/>
      <c r="G44" s="18"/>
      <c r="H44" s="18"/>
      <c r="I44" s="18"/>
      <c r="J44" s="18"/>
      <c r="K44" s="18"/>
      <c r="L44" s="18"/>
      <c r="M44" s="18"/>
      <c r="N44" s="18"/>
    </row>
  </sheetData>
  <sheetProtection password="A028" sheet="1"/>
  <mergeCells count="7">
    <mergeCell ref="H6:K6"/>
    <mergeCell ref="E6:E7"/>
    <mergeCell ref="F6:G6"/>
    <mergeCell ref="A6:A7"/>
    <mergeCell ref="B6:B7"/>
    <mergeCell ref="C6:C7"/>
    <mergeCell ref="D6:D7"/>
  </mergeCells>
  <phoneticPr fontId="0" type="noConversion"/>
  <printOptions horizontalCentered="1"/>
  <pageMargins left="0.25" right="0.25" top="0.25" bottom="0.25" header="0.5" footer="0.5"/>
  <pageSetup paperSize="9" scale="8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48"/>
  <sheetViews>
    <sheetView showGridLines="0" zoomScaleNormal="100" workbookViewId="0">
      <selection activeCell="A3" sqref="A3"/>
    </sheetView>
  </sheetViews>
  <sheetFormatPr defaultRowHeight="12.75"/>
  <cols>
    <col min="1" max="1" width="6.5703125" customWidth="1"/>
    <col min="2" max="3" width="11.5703125" customWidth="1"/>
    <col min="4" max="5" width="11.140625" customWidth="1"/>
    <col min="6" max="9" width="12.5703125" customWidth="1"/>
    <col min="10" max="15" width="11.5703125" customWidth="1"/>
    <col min="16" max="25" width="13.5703125" customWidth="1"/>
    <col min="26" max="26" width="29.42578125" customWidth="1"/>
    <col min="27" max="16384" width="9.140625" style="67"/>
  </cols>
  <sheetData>
    <row r="1" spans="1:27" s="93" customFormat="1" ht="15" customHeight="1">
      <c r="A1" s="237" t="s">
        <v>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</row>
    <row r="2" spans="1:27" s="93" customFormat="1" ht="15" customHeight="1">
      <c r="A2" s="238" t="s">
        <v>11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</row>
    <row r="3" spans="1:27" s="93" customFormat="1" ht="15">
      <c r="A3" s="94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7"/>
      <c r="Q3" s="7"/>
      <c r="R3" s="7"/>
      <c r="S3" s="7"/>
      <c r="T3" s="7"/>
      <c r="U3" s="7"/>
      <c r="V3" s="7"/>
      <c r="W3" s="7"/>
      <c r="X3" s="7"/>
      <c r="Y3" s="7"/>
      <c r="Z3" s="3"/>
    </row>
    <row r="4" spans="1:27" s="93" customFormat="1" ht="35.25" customHeight="1">
      <c r="A4" s="233" t="s">
        <v>12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</row>
    <row r="5" spans="1:27" s="96" customFormat="1" ht="28.5" customHeight="1">
      <c r="A5" s="234" t="s">
        <v>42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6"/>
      <c r="AA5" s="95"/>
    </row>
    <row r="6" spans="1:27" s="93" customFormat="1" ht="86.25" customHeight="1">
      <c r="A6" s="97" t="s">
        <v>6</v>
      </c>
      <c r="B6" s="98" t="s">
        <v>13</v>
      </c>
      <c r="C6" s="99" t="s">
        <v>33</v>
      </c>
      <c r="D6" s="98" t="s">
        <v>14</v>
      </c>
      <c r="E6" s="99" t="s">
        <v>33</v>
      </c>
      <c r="F6" s="98" t="s">
        <v>15</v>
      </c>
      <c r="G6" s="99" t="s">
        <v>33</v>
      </c>
      <c r="H6" s="98" t="s">
        <v>69</v>
      </c>
      <c r="I6" s="99" t="s">
        <v>33</v>
      </c>
      <c r="J6" s="98" t="s">
        <v>16</v>
      </c>
      <c r="K6" s="99" t="s">
        <v>33</v>
      </c>
      <c r="L6" s="98" t="s">
        <v>70</v>
      </c>
      <c r="M6" s="99" t="s">
        <v>33</v>
      </c>
      <c r="N6" s="207" t="s">
        <v>302</v>
      </c>
      <c r="O6" s="208" t="s">
        <v>33</v>
      </c>
      <c r="P6" s="209" t="s">
        <v>17</v>
      </c>
      <c r="Q6" s="210" t="s">
        <v>33</v>
      </c>
      <c r="R6" s="209" t="s">
        <v>71</v>
      </c>
      <c r="S6" s="210" t="s">
        <v>33</v>
      </c>
      <c r="T6" s="207" t="s">
        <v>303</v>
      </c>
      <c r="U6" s="208" t="s">
        <v>33</v>
      </c>
      <c r="V6" s="98" t="s">
        <v>72</v>
      </c>
      <c r="W6" s="99" t="s">
        <v>33</v>
      </c>
      <c r="X6" s="98" t="s">
        <v>73</v>
      </c>
      <c r="Y6" s="99" t="s">
        <v>33</v>
      </c>
      <c r="Z6" s="211" t="s">
        <v>304</v>
      </c>
    </row>
    <row r="7" spans="1:27" s="93" customFormat="1">
      <c r="A7" s="100"/>
      <c r="B7" s="101">
        <v>1</v>
      </c>
      <c r="C7" s="101">
        <v>2</v>
      </c>
      <c r="D7" s="101">
        <v>3</v>
      </c>
      <c r="E7" s="101">
        <v>4</v>
      </c>
      <c r="F7" s="101">
        <v>5</v>
      </c>
      <c r="G7" s="101">
        <v>6</v>
      </c>
      <c r="H7" s="101">
        <v>7</v>
      </c>
      <c r="I7" s="101">
        <v>8</v>
      </c>
      <c r="J7" s="101">
        <v>9</v>
      </c>
      <c r="K7" s="101">
        <v>10</v>
      </c>
      <c r="L7" s="101">
        <v>11</v>
      </c>
      <c r="M7" s="101">
        <v>12</v>
      </c>
      <c r="N7" s="101">
        <v>13</v>
      </c>
      <c r="O7" s="101">
        <v>14</v>
      </c>
      <c r="P7" s="101">
        <v>15</v>
      </c>
      <c r="Q7" s="101">
        <v>16</v>
      </c>
      <c r="R7" s="101">
        <v>17</v>
      </c>
      <c r="S7" s="101">
        <v>18</v>
      </c>
      <c r="T7" s="101">
        <v>19</v>
      </c>
      <c r="U7" s="101">
        <v>20</v>
      </c>
      <c r="V7" s="101">
        <v>21</v>
      </c>
      <c r="W7" s="101">
        <v>22</v>
      </c>
      <c r="X7" s="101">
        <v>23</v>
      </c>
      <c r="Y7" s="101">
        <v>24</v>
      </c>
      <c r="Z7" s="101">
        <v>25</v>
      </c>
    </row>
    <row r="8" spans="1:27">
      <c r="A8" s="89">
        <v>1</v>
      </c>
      <c r="B8" s="91"/>
      <c r="C8" s="91"/>
      <c r="D8" s="91"/>
      <c r="E8" s="91"/>
      <c r="F8" s="92"/>
      <c r="G8" s="92"/>
      <c r="H8" s="92"/>
      <c r="I8" s="92"/>
      <c r="J8" s="92"/>
      <c r="K8" s="92"/>
      <c r="L8" s="92"/>
      <c r="M8" s="92"/>
      <c r="N8" s="200"/>
      <c r="O8" s="201"/>
      <c r="P8" s="92"/>
      <c r="Q8" s="90"/>
      <c r="R8" s="90"/>
      <c r="S8" s="90"/>
      <c r="T8" s="201"/>
      <c r="U8" s="201"/>
      <c r="V8" s="90"/>
      <c r="W8" s="90"/>
      <c r="X8" s="90"/>
      <c r="Y8" s="90"/>
      <c r="Z8" s="212">
        <f>(D8-E8)*0.1+(F8-G8)*0.2+(H8-I8)*0.3+(J8-K8)*0.5+(L8-M8)*0.75+(N8-O8)*0.85+(P8-Q8)+(R8-S8)*1.1+(T8-U8)*1.25+(V8-W8)*1.5+(X8-Y8)*2.25</f>
        <v>0</v>
      </c>
    </row>
    <row r="9" spans="1:27">
      <c r="A9" s="29">
        <v>2</v>
      </c>
      <c r="B9" s="30"/>
      <c r="C9" s="30"/>
      <c r="D9" s="30"/>
      <c r="E9" s="30"/>
      <c r="F9" s="31"/>
      <c r="G9" s="31"/>
      <c r="H9" s="31"/>
      <c r="I9" s="31"/>
      <c r="J9" s="31"/>
      <c r="K9" s="31"/>
      <c r="L9" s="31"/>
      <c r="M9" s="31"/>
      <c r="N9" s="202"/>
      <c r="O9" s="203"/>
      <c r="P9" s="31"/>
      <c r="Q9" s="32"/>
      <c r="R9" s="32"/>
      <c r="S9" s="32"/>
      <c r="T9" s="203"/>
      <c r="U9" s="203"/>
      <c r="V9" s="32"/>
      <c r="W9" s="32"/>
      <c r="X9" s="32"/>
      <c r="Y9" s="32"/>
      <c r="Z9" s="212">
        <f t="shared" ref="Z9:Z38" si="0">(D9-E9)*0.1+(F9-G9)*0.2+(H9-I9)*0.3+(J9-K9)*0.5+(L9-M9)*0.75+(N9-O9)*0.85+(P9-Q9)+(R9-S9)*1.1+(T9-U9)*1.25+(V9-W9)*1.5+(X9-Y9)*2.25</f>
        <v>0</v>
      </c>
    </row>
    <row r="10" spans="1:27">
      <c r="A10" s="29">
        <v>3</v>
      </c>
      <c r="B10" s="30"/>
      <c r="C10" s="30"/>
      <c r="D10" s="30"/>
      <c r="E10" s="30"/>
      <c r="F10" s="31"/>
      <c r="G10" s="31"/>
      <c r="H10" s="31"/>
      <c r="I10" s="31"/>
      <c r="J10" s="31"/>
      <c r="K10" s="31"/>
      <c r="L10" s="31"/>
      <c r="M10" s="31"/>
      <c r="N10" s="202"/>
      <c r="O10" s="203"/>
      <c r="P10" s="31"/>
      <c r="Q10" s="32"/>
      <c r="R10" s="32"/>
      <c r="S10" s="32"/>
      <c r="T10" s="203"/>
      <c r="U10" s="203"/>
      <c r="V10" s="32"/>
      <c r="W10" s="32"/>
      <c r="X10" s="32"/>
      <c r="Y10" s="32"/>
      <c r="Z10" s="212">
        <f t="shared" si="0"/>
        <v>0</v>
      </c>
    </row>
    <row r="11" spans="1:27">
      <c r="A11" s="29">
        <v>4</v>
      </c>
      <c r="B11" s="30"/>
      <c r="C11" s="30"/>
      <c r="D11" s="30"/>
      <c r="E11" s="30"/>
      <c r="F11" s="31"/>
      <c r="G11" s="31"/>
      <c r="H11" s="31"/>
      <c r="I11" s="31"/>
      <c r="J11" s="31"/>
      <c r="K11" s="31"/>
      <c r="L11" s="31"/>
      <c r="M11" s="31"/>
      <c r="N11" s="202"/>
      <c r="O11" s="203"/>
      <c r="P11" s="31"/>
      <c r="Q11" s="32"/>
      <c r="R11" s="32"/>
      <c r="S11" s="32"/>
      <c r="T11" s="203"/>
      <c r="U11" s="203"/>
      <c r="V11" s="32"/>
      <c r="W11" s="32"/>
      <c r="X11" s="32"/>
      <c r="Y11" s="32"/>
      <c r="Z11" s="212">
        <f t="shared" si="0"/>
        <v>0</v>
      </c>
    </row>
    <row r="12" spans="1:27">
      <c r="A12" s="29">
        <v>5</v>
      </c>
      <c r="B12" s="30"/>
      <c r="C12" s="30"/>
      <c r="D12" s="30"/>
      <c r="E12" s="30"/>
      <c r="F12" s="31"/>
      <c r="G12" s="31"/>
      <c r="H12" s="31"/>
      <c r="I12" s="31"/>
      <c r="J12" s="31"/>
      <c r="K12" s="31"/>
      <c r="L12" s="31"/>
      <c r="M12" s="31"/>
      <c r="N12" s="202"/>
      <c r="O12" s="203"/>
      <c r="P12" s="31"/>
      <c r="Q12" s="32"/>
      <c r="R12" s="32"/>
      <c r="S12" s="32"/>
      <c r="T12" s="203"/>
      <c r="U12" s="203"/>
      <c r="V12" s="32"/>
      <c r="W12" s="32"/>
      <c r="X12" s="32"/>
      <c r="Y12" s="32"/>
      <c r="Z12" s="212">
        <f>(D12-E12)*0.1+(F12-G12)*0.2+(H12-I12)*0.3+(J12-K12)*0.5+(L12-M12)*0.75+(N12-O12)*0.85+(P12-Q12)+(R12-S12)*1.1+(T12-U12)*1.25+(V12-W12)*1.5+(X12-Y12)*2.25</f>
        <v>0</v>
      </c>
    </row>
    <row r="13" spans="1:27">
      <c r="A13" s="29">
        <v>6</v>
      </c>
      <c r="B13" s="30"/>
      <c r="C13" s="30"/>
      <c r="D13" s="30"/>
      <c r="E13" s="30"/>
      <c r="F13" s="31"/>
      <c r="G13" s="31"/>
      <c r="H13" s="31"/>
      <c r="I13" s="31"/>
      <c r="J13" s="31"/>
      <c r="K13" s="31"/>
      <c r="L13" s="31"/>
      <c r="M13" s="31"/>
      <c r="N13" s="202"/>
      <c r="O13" s="203"/>
      <c r="P13" s="31"/>
      <c r="Q13" s="32"/>
      <c r="R13" s="32"/>
      <c r="S13" s="32"/>
      <c r="T13" s="203"/>
      <c r="U13" s="203"/>
      <c r="V13" s="32"/>
      <c r="W13" s="32"/>
      <c r="X13" s="32"/>
      <c r="Y13" s="32"/>
      <c r="Z13" s="212">
        <f t="shared" si="0"/>
        <v>0</v>
      </c>
    </row>
    <row r="14" spans="1:27">
      <c r="A14" s="29">
        <v>7</v>
      </c>
      <c r="B14" s="30"/>
      <c r="C14" s="30"/>
      <c r="D14" s="30"/>
      <c r="E14" s="30"/>
      <c r="F14" s="31"/>
      <c r="G14" s="31"/>
      <c r="H14" s="31"/>
      <c r="I14" s="31"/>
      <c r="J14" s="31"/>
      <c r="K14" s="31"/>
      <c r="L14" s="31"/>
      <c r="M14" s="31"/>
      <c r="N14" s="202"/>
      <c r="O14" s="203"/>
      <c r="P14" s="31"/>
      <c r="Q14" s="32"/>
      <c r="R14" s="32"/>
      <c r="S14" s="32"/>
      <c r="T14" s="203"/>
      <c r="U14" s="203"/>
      <c r="V14" s="32"/>
      <c r="W14" s="32"/>
      <c r="X14" s="32"/>
      <c r="Y14" s="32"/>
      <c r="Z14" s="212">
        <f t="shared" si="0"/>
        <v>0</v>
      </c>
    </row>
    <row r="15" spans="1:27">
      <c r="A15" s="29">
        <v>8</v>
      </c>
      <c r="B15" s="30"/>
      <c r="C15" s="30"/>
      <c r="D15" s="30"/>
      <c r="E15" s="30"/>
      <c r="F15" s="31"/>
      <c r="G15" s="31"/>
      <c r="H15" s="31"/>
      <c r="I15" s="31"/>
      <c r="J15" s="31"/>
      <c r="K15" s="31"/>
      <c r="L15" s="31"/>
      <c r="M15" s="31"/>
      <c r="N15" s="202"/>
      <c r="O15" s="203"/>
      <c r="P15" s="31"/>
      <c r="Q15" s="32"/>
      <c r="R15" s="32"/>
      <c r="S15" s="32"/>
      <c r="T15" s="203"/>
      <c r="U15" s="203"/>
      <c r="V15" s="32"/>
      <c r="W15" s="32"/>
      <c r="X15" s="32"/>
      <c r="Y15" s="32"/>
      <c r="Z15" s="212">
        <f t="shared" si="0"/>
        <v>0</v>
      </c>
    </row>
    <row r="16" spans="1:27">
      <c r="A16" s="29">
        <v>9</v>
      </c>
      <c r="B16" s="30"/>
      <c r="C16" s="30"/>
      <c r="D16" s="30"/>
      <c r="E16" s="30"/>
      <c r="F16" s="31"/>
      <c r="G16" s="31"/>
      <c r="H16" s="31"/>
      <c r="I16" s="31"/>
      <c r="J16" s="31"/>
      <c r="K16" s="31"/>
      <c r="L16" s="31"/>
      <c r="M16" s="31"/>
      <c r="N16" s="202"/>
      <c r="O16" s="203"/>
      <c r="P16" s="31"/>
      <c r="Q16" s="32"/>
      <c r="R16" s="32"/>
      <c r="S16" s="32"/>
      <c r="T16" s="203"/>
      <c r="U16" s="203"/>
      <c r="V16" s="32"/>
      <c r="W16" s="32"/>
      <c r="X16" s="32"/>
      <c r="Y16" s="32"/>
      <c r="Z16" s="212">
        <f t="shared" si="0"/>
        <v>0</v>
      </c>
    </row>
    <row r="17" spans="1:26">
      <c r="A17" s="29">
        <v>10</v>
      </c>
      <c r="B17" s="30"/>
      <c r="C17" s="30"/>
      <c r="D17" s="30"/>
      <c r="E17" s="30"/>
      <c r="F17" s="31"/>
      <c r="G17" s="31"/>
      <c r="H17" s="31"/>
      <c r="I17" s="31"/>
      <c r="J17" s="31"/>
      <c r="K17" s="31"/>
      <c r="L17" s="31"/>
      <c r="M17" s="31"/>
      <c r="N17" s="202"/>
      <c r="O17" s="203"/>
      <c r="P17" s="31"/>
      <c r="Q17" s="32"/>
      <c r="R17" s="32"/>
      <c r="S17" s="32"/>
      <c r="T17" s="203"/>
      <c r="U17" s="203"/>
      <c r="V17" s="32"/>
      <c r="W17" s="32"/>
      <c r="X17" s="32"/>
      <c r="Y17" s="32"/>
      <c r="Z17" s="212">
        <f t="shared" si="0"/>
        <v>0</v>
      </c>
    </row>
    <row r="18" spans="1:26">
      <c r="A18" s="29">
        <v>11</v>
      </c>
      <c r="B18" s="30"/>
      <c r="C18" s="30"/>
      <c r="D18" s="30"/>
      <c r="E18" s="30"/>
      <c r="F18" s="31"/>
      <c r="G18" s="31"/>
      <c r="H18" s="31"/>
      <c r="I18" s="31"/>
      <c r="J18" s="31"/>
      <c r="K18" s="31"/>
      <c r="L18" s="31"/>
      <c r="M18" s="31"/>
      <c r="N18" s="202"/>
      <c r="O18" s="203"/>
      <c r="P18" s="31"/>
      <c r="Q18" s="32"/>
      <c r="R18" s="32"/>
      <c r="S18" s="32"/>
      <c r="T18" s="203"/>
      <c r="U18" s="203"/>
      <c r="V18" s="32"/>
      <c r="W18" s="32"/>
      <c r="X18" s="32"/>
      <c r="Y18" s="32"/>
      <c r="Z18" s="212">
        <f t="shared" si="0"/>
        <v>0</v>
      </c>
    </row>
    <row r="19" spans="1:26">
      <c r="A19" s="29">
        <v>12</v>
      </c>
      <c r="B19" s="30"/>
      <c r="C19" s="30"/>
      <c r="D19" s="30"/>
      <c r="E19" s="30"/>
      <c r="F19" s="31"/>
      <c r="G19" s="31"/>
      <c r="H19" s="31"/>
      <c r="I19" s="31"/>
      <c r="J19" s="31"/>
      <c r="K19" s="31"/>
      <c r="L19" s="31"/>
      <c r="M19" s="31"/>
      <c r="N19" s="202"/>
      <c r="O19" s="203"/>
      <c r="P19" s="31"/>
      <c r="Q19" s="32"/>
      <c r="R19" s="32"/>
      <c r="S19" s="32"/>
      <c r="T19" s="203"/>
      <c r="U19" s="203"/>
      <c r="V19" s="32"/>
      <c r="W19" s="32"/>
      <c r="X19" s="32"/>
      <c r="Y19" s="32"/>
      <c r="Z19" s="212">
        <f t="shared" si="0"/>
        <v>0</v>
      </c>
    </row>
    <row r="20" spans="1:26">
      <c r="A20" s="29">
        <v>13</v>
      </c>
      <c r="B20" s="30"/>
      <c r="C20" s="30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202"/>
      <c r="O20" s="203"/>
      <c r="P20" s="31"/>
      <c r="Q20" s="32"/>
      <c r="R20" s="32"/>
      <c r="S20" s="32"/>
      <c r="T20" s="203"/>
      <c r="U20" s="203"/>
      <c r="V20" s="32"/>
      <c r="W20" s="32"/>
      <c r="X20" s="32"/>
      <c r="Y20" s="32"/>
      <c r="Z20" s="212">
        <f t="shared" si="0"/>
        <v>0</v>
      </c>
    </row>
    <row r="21" spans="1:26">
      <c r="A21" s="29">
        <v>14</v>
      </c>
      <c r="B21" s="30"/>
      <c r="C21" s="30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202"/>
      <c r="O21" s="203"/>
      <c r="P21" s="31"/>
      <c r="Q21" s="32"/>
      <c r="R21" s="32"/>
      <c r="S21" s="32"/>
      <c r="T21" s="203"/>
      <c r="U21" s="203"/>
      <c r="V21" s="32"/>
      <c r="W21" s="32"/>
      <c r="X21" s="32"/>
      <c r="Y21" s="32"/>
      <c r="Z21" s="212">
        <f t="shared" si="0"/>
        <v>0</v>
      </c>
    </row>
    <row r="22" spans="1:26">
      <c r="A22" s="29">
        <v>15</v>
      </c>
      <c r="B22" s="30"/>
      <c r="C22" s="30"/>
      <c r="D22" s="30"/>
      <c r="E22" s="30"/>
      <c r="F22" s="31"/>
      <c r="G22" s="31"/>
      <c r="H22" s="31"/>
      <c r="I22" s="31"/>
      <c r="J22" s="31"/>
      <c r="K22" s="31"/>
      <c r="L22" s="31"/>
      <c r="M22" s="31"/>
      <c r="N22" s="202"/>
      <c r="O22" s="203"/>
      <c r="P22" s="31"/>
      <c r="Q22" s="32"/>
      <c r="R22" s="32"/>
      <c r="S22" s="32"/>
      <c r="T22" s="203"/>
      <c r="U22" s="203"/>
      <c r="V22" s="32"/>
      <c r="W22" s="32"/>
      <c r="X22" s="32"/>
      <c r="Y22" s="32"/>
      <c r="Z22" s="212">
        <f t="shared" si="0"/>
        <v>0</v>
      </c>
    </row>
    <row r="23" spans="1:26">
      <c r="A23" s="29">
        <v>16</v>
      </c>
      <c r="B23" s="30"/>
      <c r="C23" s="30"/>
      <c r="D23" s="30"/>
      <c r="E23" s="30"/>
      <c r="F23" s="31"/>
      <c r="G23" s="31"/>
      <c r="H23" s="31"/>
      <c r="I23" s="31"/>
      <c r="J23" s="31"/>
      <c r="K23" s="31"/>
      <c r="L23" s="31"/>
      <c r="M23" s="31"/>
      <c r="N23" s="202"/>
      <c r="O23" s="203"/>
      <c r="P23" s="31"/>
      <c r="Q23" s="32"/>
      <c r="R23" s="32"/>
      <c r="S23" s="32"/>
      <c r="T23" s="203"/>
      <c r="U23" s="203"/>
      <c r="V23" s="32"/>
      <c r="W23" s="32"/>
      <c r="X23" s="32"/>
      <c r="Y23" s="32"/>
      <c r="Z23" s="212">
        <f t="shared" si="0"/>
        <v>0</v>
      </c>
    </row>
    <row r="24" spans="1:26">
      <c r="A24" s="29">
        <v>17</v>
      </c>
      <c r="B24" s="30"/>
      <c r="C24" s="30"/>
      <c r="D24" s="30"/>
      <c r="E24" s="30"/>
      <c r="F24" s="31"/>
      <c r="G24" s="31"/>
      <c r="H24" s="31"/>
      <c r="I24" s="31"/>
      <c r="J24" s="31"/>
      <c r="K24" s="31"/>
      <c r="L24" s="31"/>
      <c r="M24" s="31"/>
      <c r="N24" s="202"/>
      <c r="O24" s="203"/>
      <c r="P24" s="31"/>
      <c r="Q24" s="32"/>
      <c r="R24" s="32"/>
      <c r="S24" s="32"/>
      <c r="T24" s="203"/>
      <c r="U24" s="203"/>
      <c r="V24" s="32"/>
      <c r="W24" s="32"/>
      <c r="X24" s="32"/>
      <c r="Y24" s="32"/>
      <c r="Z24" s="212">
        <f t="shared" si="0"/>
        <v>0</v>
      </c>
    </row>
    <row r="25" spans="1:26">
      <c r="A25" s="29">
        <v>18</v>
      </c>
      <c r="B25" s="30"/>
      <c r="C25" s="30"/>
      <c r="D25" s="30"/>
      <c r="E25" s="30"/>
      <c r="F25" s="31"/>
      <c r="G25" s="31"/>
      <c r="H25" s="31"/>
      <c r="I25" s="31"/>
      <c r="J25" s="31"/>
      <c r="K25" s="31"/>
      <c r="L25" s="31"/>
      <c r="M25" s="31"/>
      <c r="N25" s="202"/>
      <c r="O25" s="203"/>
      <c r="P25" s="31"/>
      <c r="Q25" s="32"/>
      <c r="R25" s="32"/>
      <c r="S25" s="32"/>
      <c r="T25" s="203"/>
      <c r="U25" s="203"/>
      <c r="V25" s="32"/>
      <c r="W25" s="32"/>
      <c r="X25" s="32"/>
      <c r="Y25" s="32"/>
      <c r="Z25" s="212">
        <f t="shared" si="0"/>
        <v>0</v>
      </c>
    </row>
    <row r="26" spans="1:26">
      <c r="A26" s="29">
        <v>19</v>
      </c>
      <c r="B26" s="30"/>
      <c r="C26" s="30"/>
      <c r="D26" s="30"/>
      <c r="E26" s="30"/>
      <c r="F26" s="31"/>
      <c r="G26" s="31"/>
      <c r="H26" s="31"/>
      <c r="I26" s="31"/>
      <c r="J26" s="31"/>
      <c r="K26" s="31"/>
      <c r="L26" s="31"/>
      <c r="M26" s="31"/>
      <c r="N26" s="202"/>
      <c r="O26" s="203"/>
      <c r="P26" s="31"/>
      <c r="Q26" s="32"/>
      <c r="R26" s="32"/>
      <c r="S26" s="32"/>
      <c r="T26" s="203"/>
      <c r="U26" s="203"/>
      <c r="V26" s="32"/>
      <c r="W26" s="32"/>
      <c r="X26" s="32"/>
      <c r="Y26" s="32"/>
      <c r="Z26" s="212">
        <f t="shared" si="0"/>
        <v>0</v>
      </c>
    </row>
    <row r="27" spans="1:26">
      <c r="A27" s="29">
        <v>20</v>
      </c>
      <c r="B27" s="30"/>
      <c r="C27" s="30"/>
      <c r="D27" s="30"/>
      <c r="E27" s="30"/>
      <c r="F27" s="31"/>
      <c r="G27" s="31"/>
      <c r="H27" s="31"/>
      <c r="I27" s="31"/>
      <c r="J27" s="31"/>
      <c r="K27" s="31"/>
      <c r="L27" s="31"/>
      <c r="M27" s="31"/>
      <c r="N27" s="202"/>
      <c r="O27" s="203"/>
      <c r="P27" s="31"/>
      <c r="Q27" s="32"/>
      <c r="R27" s="32"/>
      <c r="S27" s="32"/>
      <c r="T27" s="203"/>
      <c r="U27" s="203"/>
      <c r="V27" s="32"/>
      <c r="W27" s="32"/>
      <c r="X27" s="32"/>
      <c r="Y27" s="32"/>
      <c r="Z27" s="212">
        <f t="shared" si="0"/>
        <v>0</v>
      </c>
    </row>
    <row r="28" spans="1:26">
      <c r="A28" s="29">
        <v>21</v>
      </c>
      <c r="B28" s="30"/>
      <c r="C28" s="30"/>
      <c r="D28" s="30"/>
      <c r="E28" s="30"/>
      <c r="F28" s="31"/>
      <c r="G28" s="31"/>
      <c r="H28" s="31"/>
      <c r="I28" s="31"/>
      <c r="J28" s="31"/>
      <c r="K28" s="31"/>
      <c r="L28" s="31"/>
      <c r="M28" s="31"/>
      <c r="N28" s="202"/>
      <c r="O28" s="203"/>
      <c r="P28" s="31"/>
      <c r="Q28" s="32"/>
      <c r="R28" s="32"/>
      <c r="S28" s="32"/>
      <c r="T28" s="203"/>
      <c r="U28" s="203"/>
      <c r="V28" s="32"/>
      <c r="W28" s="32"/>
      <c r="X28" s="32"/>
      <c r="Y28" s="32"/>
      <c r="Z28" s="212">
        <f t="shared" si="0"/>
        <v>0</v>
      </c>
    </row>
    <row r="29" spans="1:26">
      <c r="A29" s="29">
        <v>22</v>
      </c>
      <c r="B29" s="30"/>
      <c r="C29" s="30"/>
      <c r="D29" s="30"/>
      <c r="E29" s="30"/>
      <c r="F29" s="31"/>
      <c r="G29" s="31"/>
      <c r="H29" s="31"/>
      <c r="I29" s="31"/>
      <c r="J29" s="31"/>
      <c r="K29" s="31"/>
      <c r="L29" s="31"/>
      <c r="M29" s="31"/>
      <c r="N29" s="202"/>
      <c r="O29" s="203"/>
      <c r="P29" s="31"/>
      <c r="Q29" s="32"/>
      <c r="R29" s="32"/>
      <c r="S29" s="32"/>
      <c r="T29" s="203"/>
      <c r="U29" s="203"/>
      <c r="V29" s="32"/>
      <c r="W29" s="32"/>
      <c r="X29" s="32"/>
      <c r="Y29" s="32"/>
      <c r="Z29" s="212">
        <f t="shared" si="0"/>
        <v>0</v>
      </c>
    </row>
    <row r="30" spans="1:26">
      <c r="A30" s="29">
        <v>23</v>
      </c>
      <c r="B30" s="30"/>
      <c r="C30" s="30"/>
      <c r="D30" s="30"/>
      <c r="E30" s="30"/>
      <c r="F30" s="31"/>
      <c r="G30" s="31"/>
      <c r="H30" s="31"/>
      <c r="I30" s="31"/>
      <c r="J30" s="31"/>
      <c r="K30" s="31"/>
      <c r="L30" s="31"/>
      <c r="M30" s="31"/>
      <c r="N30" s="202"/>
      <c r="O30" s="203"/>
      <c r="P30" s="31"/>
      <c r="Q30" s="32"/>
      <c r="R30" s="32"/>
      <c r="S30" s="32"/>
      <c r="T30" s="203"/>
      <c r="U30" s="203"/>
      <c r="V30" s="32"/>
      <c r="W30" s="32"/>
      <c r="X30" s="32"/>
      <c r="Y30" s="32"/>
      <c r="Z30" s="212">
        <f t="shared" si="0"/>
        <v>0</v>
      </c>
    </row>
    <row r="31" spans="1:26">
      <c r="A31" s="29">
        <v>24</v>
      </c>
      <c r="B31" s="30"/>
      <c r="C31" s="30"/>
      <c r="D31" s="30"/>
      <c r="E31" s="30"/>
      <c r="F31" s="31"/>
      <c r="G31" s="31"/>
      <c r="H31" s="31"/>
      <c r="I31" s="31"/>
      <c r="J31" s="31"/>
      <c r="K31" s="31"/>
      <c r="L31" s="31"/>
      <c r="M31" s="31"/>
      <c r="N31" s="202"/>
      <c r="O31" s="203"/>
      <c r="P31" s="31"/>
      <c r="Q31" s="32"/>
      <c r="R31" s="32"/>
      <c r="S31" s="32"/>
      <c r="T31" s="203"/>
      <c r="U31" s="203"/>
      <c r="V31" s="32"/>
      <c r="W31" s="32"/>
      <c r="X31" s="32"/>
      <c r="Y31" s="32"/>
      <c r="Z31" s="212">
        <f t="shared" si="0"/>
        <v>0</v>
      </c>
    </row>
    <row r="32" spans="1:26">
      <c r="A32" s="29">
        <v>25</v>
      </c>
      <c r="B32" s="30"/>
      <c r="C32" s="30"/>
      <c r="D32" s="30"/>
      <c r="E32" s="30"/>
      <c r="F32" s="31"/>
      <c r="G32" s="31"/>
      <c r="H32" s="31"/>
      <c r="I32" s="31"/>
      <c r="J32" s="31"/>
      <c r="K32" s="31"/>
      <c r="L32" s="31"/>
      <c r="M32" s="31"/>
      <c r="N32" s="202"/>
      <c r="O32" s="203"/>
      <c r="P32" s="31"/>
      <c r="Q32" s="32"/>
      <c r="R32" s="32"/>
      <c r="S32" s="32"/>
      <c r="T32" s="203"/>
      <c r="U32" s="203"/>
      <c r="V32" s="32"/>
      <c r="W32" s="32"/>
      <c r="X32" s="32"/>
      <c r="Y32" s="32"/>
      <c r="Z32" s="212">
        <f t="shared" si="0"/>
        <v>0</v>
      </c>
    </row>
    <row r="33" spans="1:26">
      <c r="A33" s="29">
        <v>26</v>
      </c>
      <c r="B33" s="30"/>
      <c r="C33" s="30"/>
      <c r="D33" s="30"/>
      <c r="E33" s="30"/>
      <c r="F33" s="31"/>
      <c r="G33" s="31"/>
      <c r="H33" s="31"/>
      <c r="I33" s="31"/>
      <c r="J33" s="31"/>
      <c r="K33" s="31"/>
      <c r="L33" s="31"/>
      <c r="M33" s="31"/>
      <c r="N33" s="202"/>
      <c r="O33" s="203"/>
      <c r="P33" s="31"/>
      <c r="Q33" s="32"/>
      <c r="R33" s="32"/>
      <c r="S33" s="32"/>
      <c r="T33" s="203"/>
      <c r="U33" s="203"/>
      <c r="V33" s="32"/>
      <c r="W33" s="32"/>
      <c r="X33" s="32"/>
      <c r="Y33" s="32"/>
      <c r="Z33" s="212">
        <f t="shared" si="0"/>
        <v>0</v>
      </c>
    </row>
    <row r="34" spans="1:26">
      <c r="A34" s="29">
        <v>27</v>
      </c>
      <c r="B34" s="30"/>
      <c r="C34" s="30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202"/>
      <c r="O34" s="203"/>
      <c r="P34" s="31"/>
      <c r="Q34" s="32"/>
      <c r="R34" s="32"/>
      <c r="S34" s="32"/>
      <c r="T34" s="203"/>
      <c r="U34" s="203"/>
      <c r="V34" s="32"/>
      <c r="W34" s="32"/>
      <c r="X34" s="32"/>
      <c r="Y34" s="32"/>
      <c r="Z34" s="212">
        <f t="shared" si="0"/>
        <v>0</v>
      </c>
    </row>
    <row r="35" spans="1:26">
      <c r="A35" s="29">
        <v>28</v>
      </c>
      <c r="B35" s="30"/>
      <c r="C35" s="30"/>
      <c r="D35" s="30"/>
      <c r="E35" s="30"/>
      <c r="F35" s="31"/>
      <c r="G35" s="31"/>
      <c r="H35" s="31"/>
      <c r="I35" s="31"/>
      <c r="J35" s="31"/>
      <c r="K35" s="31"/>
      <c r="L35" s="31"/>
      <c r="M35" s="31"/>
      <c r="N35" s="202"/>
      <c r="O35" s="203"/>
      <c r="P35" s="31"/>
      <c r="Q35" s="32"/>
      <c r="R35" s="32"/>
      <c r="S35" s="32"/>
      <c r="T35" s="203"/>
      <c r="U35" s="203"/>
      <c r="V35" s="32"/>
      <c r="W35" s="32"/>
      <c r="X35" s="32"/>
      <c r="Y35" s="32"/>
      <c r="Z35" s="212">
        <f t="shared" si="0"/>
        <v>0</v>
      </c>
    </row>
    <row r="36" spans="1:26">
      <c r="A36" s="29">
        <v>29</v>
      </c>
      <c r="B36" s="30"/>
      <c r="C36" s="30"/>
      <c r="D36" s="30"/>
      <c r="E36" s="30"/>
      <c r="F36" s="31"/>
      <c r="G36" s="31"/>
      <c r="H36" s="31"/>
      <c r="I36" s="31"/>
      <c r="J36" s="31"/>
      <c r="K36" s="31"/>
      <c r="L36" s="31"/>
      <c r="M36" s="31"/>
      <c r="N36" s="202"/>
      <c r="O36" s="203"/>
      <c r="P36" s="31"/>
      <c r="Q36" s="32"/>
      <c r="R36" s="32"/>
      <c r="S36" s="32"/>
      <c r="T36" s="203"/>
      <c r="U36" s="203"/>
      <c r="V36" s="32"/>
      <c r="W36" s="32"/>
      <c r="X36" s="32"/>
      <c r="Y36" s="32"/>
      <c r="Z36" s="212">
        <f t="shared" si="0"/>
        <v>0</v>
      </c>
    </row>
    <row r="37" spans="1:26">
      <c r="A37" s="29">
        <v>30</v>
      </c>
      <c r="B37" s="30"/>
      <c r="C37" s="30"/>
      <c r="D37" s="30"/>
      <c r="E37" s="30"/>
      <c r="F37" s="31"/>
      <c r="G37" s="31"/>
      <c r="H37" s="31"/>
      <c r="I37" s="31"/>
      <c r="J37" s="31"/>
      <c r="K37" s="31"/>
      <c r="L37" s="31"/>
      <c r="M37" s="31"/>
      <c r="N37" s="202"/>
      <c r="O37" s="203"/>
      <c r="P37" s="31"/>
      <c r="Q37" s="32"/>
      <c r="R37" s="32"/>
      <c r="S37" s="32"/>
      <c r="T37" s="203"/>
      <c r="U37" s="203"/>
      <c r="V37" s="32"/>
      <c r="W37" s="32"/>
      <c r="X37" s="32"/>
      <c r="Y37" s="32"/>
      <c r="Z37" s="212">
        <f t="shared" si="0"/>
        <v>0</v>
      </c>
    </row>
    <row r="38" spans="1:26">
      <c r="A38" s="54">
        <v>31</v>
      </c>
      <c r="B38" s="30"/>
      <c r="C38" s="33"/>
      <c r="D38" s="33"/>
      <c r="E38" s="33"/>
      <c r="F38" s="34"/>
      <c r="G38" s="34"/>
      <c r="H38" s="34"/>
      <c r="I38" s="34"/>
      <c r="J38" s="34"/>
      <c r="K38" s="34"/>
      <c r="L38" s="34"/>
      <c r="M38" s="34"/>
      <c r="N38" s="204"/>
      <c r="O38" s="203"/>
      <c r="P38" s="34"/>
      <c r="Q38" s="32"/>
      <c r="R38" s="32"/>
      <c r="S38" s="32"/>
      <c r="T38" s="206"/>
      <c r="U38" s="206"/>
      <c r="V38" s="32"/>
      <c r="W38" s="32"/>
      <c r="X38" s="32"/>
      <c r="Y38" s="32"/>
      <c r="Z38" s="212">
        <f t="shared" si="0"/>
        <v>0</v>
      </c>
    </row>
    <row r="39" spans="1:26" ht="24">
      <c r="A39" s="35" t="s">
        <v>10</v>
      </c>
      <c r="B39" s="205">
        <f t="shared" ref="B39:Z39" si="1">IF(ISERROR(SUM(B8:B38)/(Date2-Date1+1)),0,(SUM(B8:B38)/(Date2-Date1+1)))</f>
        <v>0</v>
      </c>
      <c r="C39" s="205">
        <f t="shared" si="1"/>
        <v>0</v>
      </c>
      <c r="D39" s="205">
        <f t="shared" si="1"/>
        <v>0</v>
      </c>
      <c r="E39" s="205">
        <f t="shared" si="1"/>
        <v>0</v>
      </c>
      <c r="F39" s="205">
        <f t="shared" si="1"/>
        <v>0</v>
      </c>
      <c r="G39" s="205">
        <f t="shared" si="1"/>
        <v>0</v>
      </c>
      <c r="H39" s="205">
        <f t="shared" si="1"/>
        <v>0</v>
      </c>
      <c r="I39" s="205">
        <f t="shared" si="1"/>
        <v>0</v>
      </c>
      <c r="J39" s="205">
        <f t="shared" si="1"/>
        <v>0</v>
      </c>
      <c r="K39" s="205">
        <f t="shared" si="1"/>
        <v>0</v>
      </c>
      <c r="L39" s="205">
        <f t="shared" si="1"/>
        <v>0</v>
      </c>
      <c r="M39" s="205">
        <f t="shared" si="1"/>
        <v>0</v>
      </c>
      <c r="N39" s="205">
        <f t="shared" si="1"/>
        <v>0</v>
      </c>
      <c r="O39" s="205">
        <f t="shared" si="1"/>
        <v>0</v>
      </c>
      <c r="P39" s="205">
        <f t="shared" si="1"/>
        <v>0</v>
      </c>
      <c r="Q39" s="205">
        <f t="shared" si="1"/>
        <v>0</v>
      </c>
      <c r="R39" s="205">
        <f t="shared" si="1"/>
        <v>0</v>
      </c>
      <c r="S39" s="205">
        <f t="shared" si="1"/>
        <v>0</v>
      </c>
      <c r="T39" s="205">
        <f t="shared" si="1"/>
        <v>0</v>
      </c>
      <c r="U39" s="205">
        <f t="shared" si="1"/>
        <v>0</v>
      </c>
      <c r="V39" s="205">
        <f t="shared" si="1"/>
        <v>0</v>
      </c>
      <c r="W39" s="205">
        <f t="shared" si="1"/>
        <v>0</v>
      </c>
      <c r="X39" s="205">
        <f t="shared" si="1"/>
        <v>0</v>
      </c>
      <c r="Y39" s="205">
        <f t="shared" si="1"/>
        <v>0</v>
      </c>
      <c r="Z39" s="205">
        <f t="shared" si="1"/>
        <v>0</v>
      </c>
    </row>
    <row r="40" spans="1:26" s="68" customForma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s="68" customFormat="1">
      <c r="A41" s="37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s="68" customFormat="1">
      <c r="A42" s="2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s="69" customForma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s="69" customForma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s="68" customForma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s="68" customForma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s="68" customForma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s="68" customForma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</sheetData>
  <sheetProtection password="A028" sheet="1"/>
  <mergeCells count="4">
    <mergeCell ref="A4:Z4"/>
    <mergeCell ref="A5:Z5"/>
    <mergeCell ref="A1:Z1"/>
    <mergeCell ref="A2:Z2"/>
  </mergeCells>
  <phoneticPr fontId="0" type="noConversion"/>
  <printOptions horizontalCentered="1"/>
  <pageMargins left="0" right="0" top="0.25" bottom="0.25" header="0.5" footer="0.5"/>
  <pageSetup paperSize="9" scale="93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Z45"/>
  <sheetViews>
    <sheetView showGridLines="0" zoomScaleNormal="100" workbookViewId="0">
      <selection activeCell="A3" sqref="A3"/>
    </sheetView>
  </sheetViews>
  <sheetFormatPr defaultRowHeight="12.75"/>
  <cols>
    <col min="1" max="1" width="6.5703125" customWidth="1"/>
    <col min="2" max="2" width="10.7109375" customWidth="1"/>
    <col min="3" max="3" width="10.28515625" customWidth="1"/>
    <col min="4" max="4" width="11.5703125" customWidth="1"/>
    <col min="5" max="5" width="11" customWidth="1"/>
    <col min="6" max="6" width="12.140625" style="27" customWidth="1"/>
    <col min="7" max="9" width="11.5703125" style="27" customWidth="1"/>
    <col min="10" max="10" width="10" style="27" customWidth="1"/>
    <col min="11" max="15" width="12" style="27" customWidth="1"/>
    <col min="16" max="16" width="13.7109375" customWidth="1"/>
    <col min="17" max="25" width="11.28515625" customWidth="1"/>
    <col min="26" max="26" width="23.140625" customWidth="1"/>
    <col min="27" max="27" width="9.85546875" customWidth="1"/>
    <col min="28" max="28" width="12.28515625" customWidth="1"/>
    <col min="29" max="29" width="12.42578125" customWidth="1"/>
    <col min="30" max="30" width="11.85546875" customWidth="1"/>
    <col min="31" max="31" width="13.5703125" customWidth="1"/>
  </cols>
  <sheetData>
    <row r="1" spans="1:26" ht="15.75" customHeight="1">
      <c r="A1" s="244" t="s">
        <v>0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</row>
    <row r="2" spans="1:26" ht="15">
      <c r="A2" s="243" t="s">
        <v>11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</row>
    <row r="3" spans="1:26">
      <c r="A3" s="48"/>
      <c r="B3" s="102"/>
      <c r="C3" s="57"/>
      <c r="D3" s="102"/>
      <c r="E3" s="66"/>
      <c r="F3" s="66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19"/>
      <c r="R3" s="19"/>
      <c r="S3" s="19"/>
      <c r="T3" s="19"/>
      <c r="U3" s="19"/>
      <c r="V3" s="19"/>
      <c r="W3" s="19"/>
      <c r="X3" s="19"/>
      <c r="Y3" s="19"/>
    </row>
    <row r="4" spans="1:26" ht="18.75" customHeight="1">
      <c r="A4" s="242" t="s">
        <v>12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</row>
    <row r="5" spans="1:26" ht="27.75" customHeight="1">
      <c r="A5" s="239" t="s">
        <v>34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1"/>
    </row>
    <row r="6" spans="1:26" ht="129.75" customHeight="1">
      <c r="A6" s="103" t="s">
        <v>6</v>
      </c>
      <c r="B6" s="104" t="s">
        <v>35</v>
      </c>
      <c r="C6" s="104" t="s">
        <v>36</v>
      </c>
      <c r="D6" s="104" t="s">
        <v>37</v>
      </c>
      <c r="E6" s="104" t="s">
        <v>36</v>
      </c>
      <c r="F6" s="104" t="s">
        <v>38</v>
      </c>
      <c r="G6" s="104" t="s">
        <v>36</v>
      </c>
      <c r="H6" s="104" t="s">
        <v>74</v>
      </c>
      <c r="I6" s="104" t="s">
        <v>36</v>
      </c>
      <c r="J6" s="104" t="s">
        <v>39</v>
      </c>
      <c r="K6" s="104" t="s">
        <v>36</v>
      </c>
      <c r="L6" s="104" t="s">
        <v>75</v>
      </c>
      <c r="M6" s="104" t="s">
        <v>36</v>
      </c>
      <c r="N6" s="208" t="s">
        <v>305</v>
      </c>
      <c r="O6" s="208" t="s">
        <v>36</v>
      </c>
      <c r="P6" s="208" t="s">
        <v>40</v>
      </c>
      <c r="Q6" s="208" t="s">
        <v>36</v>
      </c>
      <c r="R6" s="208" t="s">
        <v>76</v>
      </c>
      <c r="S6" s="208" t="s">
        <v>36</v>
      </c>
      <c r="T6" s="208" t="s">
        <v>306</v>
      </c>
      <c r="U6" s="208" t="s">
        <v>36</v>
      </c>
      <c r="V6" s="208" t="s">
        <v>77</v>
      </c>
      <c r="W6" s="208" t="s">
        <v>36</v>
      </c>
      <c r="X6" s="208" t="s">
        <v>78</v>
      </c>
      <c r="Y6" s="208" t="s">
        <v>36</v>
      </c>
      <c r="Z6" s="208" t="s">
        <v>307</v>
      </c>
    </row>
    <row r="7" spans="1:26">
      <c r="A7" s="100"/>
      <c r="B7" s="105">
        <v>1</v>
      </c>
      <c r="C7" s="105">
        <v>2</v>
      </c>
      <c r="D7" s="105">
        <v>3</v>
      </c>
      <c r="E7" s="105">
        <v>4</v>
      </c>
      <c r="F7" s="105">
        <v>5</v>
      </c>
      <c r="G7" s="105">
        <v>6</v>
      </c>
      <c r="H7" s="105">
        <v>7</v>
      </c>
      <c r="I7" s="105">
        <v>8</v>
      </c>
      <c r="J7" s="105">
        <v>9</v>
      </c>
      <c r="K7" s="105">
        <v>10</v>
      </c>
      <c r="L7" s="105">
        <v>11</v>
      </c>
      <c r="M7" s="105">
        <v>12</v>
      </c>
      <c r="N7" s="105">
        <v>13</v>
      </c>
      <c r="O7" s="105">
        <v>14</v>
      </c>
      <c r="P7" s="105">
        <v>15</v>
      </c>
      <c r="Q7" s="105">
        <v>16</v>
      </c>
      <c r="R7" s="105">
        <v>17</v>
      </c>
      <c r="S7" s="105">
        <v>18</v>
      </c>
      <c r="T7" s="105">
        <v>19</v>
      </c>
      <c r="U7" s="105">
        <v>20</v>
      </c>
      <c r="V7" s="105">
        <v>21</v>
      </c>
      <c r="W7" s="105">
        <v>22</v>
      </c>
      <c r="X7" s="105">
        <v>23</v>
      </c>
      <c r="Y7" s="105">
        <v>24</v>
      </c>
      <c r="Z7" s="105">
        <v>25</v>
      </c>
    </row>
    <row r="8" spans="1:26">
      <c r="A8" s="58">
        <v>1</v>
      </c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57"/>
      <c r="S8" s="157"/>
      <c r="T8" s="157"/>
      <c r="U8" s="157"/>
      <c r="V8" s="157"/>
      <c r="W8" s="157"/>
      <c r="X8" s="157"/>
      <c r="Y8" s="157"/>
      <c r="Z8" s="214">
        <f>(D8-E8)*0.1+(F8-G8)*0.2+(H8-I8)*0.3+(J8-K8)*0.5+(L8-M8)*0.75+(N8-O8)*0.85+(P8-Q8)+(R8-S8)*1.1+(T8-U8)*1.25+(V8-W8)*1.5+(X8-Y8)*2.25</f>
        <v>0</v>
      </c>
    </row>
    <row r="9" spans="1:26">
      <c r="A9" s="58">
        <v>2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58"/>
      <c r="S9" s="158"/>
      <c r="T9" s="158"/>
      <c r="U9" s="158"/>
      <c r="V9" s="158"/>
      <c r="W9" s="158"/>
      <c r="X9" s="158"/>
      <c r="Y9" s="158"/>
      <c r="Z9" s="214">
        <f t="shared" ref="Z9:Z37" si="0">(D9-E9)*0.1+(F9-G9)*0.2+(H9-I9)*0.3+(J9-K9)*0.5+(L9-M9)*0.75+(N9-O9)*0.85+(P9-Q9)+(R9-S9)*1.1+(T9-U9)*1.25+(V9-W9)*1.5+(X9-Y9)*2.25</f>
        <v>0</v>
      </c>
    </row>
    <row r="10" spans="1:26">
      <c r="A10" s="58">
        <v>3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58"/>
      <c r="S10" s="158"/>
      <c r="T10" s="158"/>
      <c r="U10" s="158"/>
      <c r="V10" s="158"/>
      <c r="W10" s="158"/>
      <c r="X10" s="158"/>
      <c r="Y10" s="158"/>
      <c r="Z10" s="214">
        <f t="shared" si="0"/>
        <v>0</v>
      </c>
    </row>
    <row r="11" spans="1:26">
      <c r="A11" s="58">
        <v>4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58"/>
      <c r="S11" s="158"/>
      <c r="T11" s="158"/>
      <c r="U11" s="158"/>
      <c r="V11" s="158"/>
      <c r="W11" s="158"/>
      <c r="X11" s="158"/>
      <c r="Y11" s="158"/>
      <c r="Z11" s="214">
        <f t="shared" si="0"/>
        <v>0</v>
      </c>
    </row>
    <row r="12" spans="1:26">
      <c r="A12" s="58">
        <v>5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58"/>
      <c r="S12" s="158"/>
      <c r="T12" s="158"/>
      <c r="U12" s="158"/>
      <c r="V12" s="158"/>
      <c r="W12" s="158"/>
      <c r="X12" s="158"/>
      <c r="Y12" s="158"/>
      <c r="Z12" s="214">
        <f t="shared" si="0"/>
        <v>0</v>
      </c>
    </row>
    <row r="13" spans="1:26">
      <c r="A13" s="58">
        <v>6</v>
      </c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58"/>
      <c r="S13" s="158"/>
      <c r="T13" s="158"/>
      <c r="U13" s="158"/>
      <c r="V13" s="158"/>
      <c r="W13" s="158"/>
      <c r="X13" s="158"/>
      <c r="Y13" s="158"/>
      <c r="Z13" s="214">
        <f t="shared" si="0"/>
        <v>0</v>
      </c>
    </row>
    <row r="14" spans="1:26">
      <c r="A14" s="58">
        <v>7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58"/>
      <c r="S14" s="158"/>
      <c r="T14" s="158"/>
      <c r="U14" s="158"/>
      <c r="V14" s="158"/>
      <c r="W14" s="158"/>
      <c r="X14" s="158"/>
      <c r="Y14" s="158"/>
      <c r="Z14" s="214">
        <f t="shared" si="0"/>
        <v>0</v>
      </c>
    </row>
    <row r="15" spans="1:26">
      <c r="A15" s="58">
        <v>8</v>
      </c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58"/>
      <c r="S15" s="158"/>
      <c r="T15" s="158"/>
      <c r="U15" s="158"/>
      <c r="V15" s="158"/>
      <c r="W15" s="158"/>
      <c r="X15" s="158"/>
      <c r="Y15" s="158"/>
      <c r="Z15" s="214">
        <f t="shared" si="0"/>
        <v>0</v>
      </c>
    </row>
    <row r="16" spans="1:26">
      <c r="A16" s="58">
        <v>9</v>
      </c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58"/>
      <c r="S16" s="158"/>
      <c r="T16" s="158"/>
      <c r="U16" s="158"/>
      <c r="V16" s="158"/>
      <c r="W16" s="158"/>
      <c r="X16" s="158"/>
      <c r="Y16" s="158"/>
      <c r="Z16" s="214">
        <f t="shared" si="0"/>
        <v>0</v>
      </c>
    </row>
    <row r="17" spans="1:26">
      <c r="A17" s="58">
        <v>10</v>
      </c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58"/>
      <c r="S17" s="158"/>
      <c r="T17" s="158"/>
      <c r="U17" s="158"/>
      <c r="V17" s="158"/>
      <c r="W17" s="158"/>
      <c r="X17" s="158"/>
      <c r="Y17" s="158"/>
      <c r="Z17" s="214">
        <f t="shared" si="0"/>
        <v>0</v>
      </c>
    </row>
    <row r="18" spans="1:26">
      <c r="A18" s="58">
        <v>11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58"/>
      <c r="S18" s="158"/>
      <c r="T18" s="158"/>
      <c r="U18" s="158"/>
      <c r="V18" s="158"/>
      <c r="W18" s="158"/>
      <c r="X18" s="158"/>
      <c r="Y18" s="158"/>
      <c r="Z18" s="214">
        <f t="shared" si="0"/>
        <v>0</v>
      </c>
    </row>
    <row r="19" spans="1:26">
      <c r="A19" s="58">
        <v>12</v>
      </c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58"/>
      <c r="S19" s="158"/>
      <c r="T19" s="158"/>
      <c r="U19" s="158"/>
      <c r="V19" s="158"/>
      <c r="W19" s="158"/>
      <c r="X19" s="158"/>
      <c r="Y19" s="158"/>
      <c r="Z19" s="214">
        <f t="shared" si="0"/>
        <v>0</v>
      </c>
    </row>
    <row r="20" spans="1:26">
      <c r="A20" s="58">
        <v>13</v>
      </c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58"/>
      <c r="S20" s="158"/>
      <c r="T20" s="158"/>
      <c r="U20" s="158"/>
      <c r="V20" s="158"/>
      <c r="W20" s="158"/>
      <c r="X20" s="158"/>
      <c r="Y20" s="158"/>
      <c r="Z20" s="214">
        <f t="shared" si="0"/>
        <v>0</v>
      </c>
    </row>
    <row r="21" spans="1:26">
      <c r="A21" s="58">
        <v>14</v>
      </c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58"/>
      <c r="S21" s="158"/>
      <c r="T21" s="158"/>
      <c r="U21" s="158"/>
      <c r="V21" s="158"/>
      <c r="W21" s="158"/>
      <c r="X21" s="158"/>
      <c r="Y21" s="158"/>
      <c r="Z21" s="214">
        <f t="shared" si="0"/>
        <v>0</v>
      </c>
    </row>
    <row r="22" spans="1:26">
      <c r="A22" s="58">
        <v>15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58"/>
      <c r="S22" s="158"/>
      <c r="T22" s="158"/>
      <c r="U22" s="158"/>
      <c r="V22" s="158"/>
      <c r="W22" s="158"/>
      <c r="X22" s="158"/>
      <c r="Y22" s="158"/>
      <c r="Z22" s="214">
        <f t="shared" si="0"/>
        <v>0</v>
      </c>
    </row>
    <row r="23" spans="1:26">
      <c r="A23" s="58">
        <v>16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58"/>
      <c r="S23" s="158"/>
      <c r="T23" s="158"/>
      <c r="U23" s="158"/>
      <c r="V23" s="158"/>
      <c r="W23" s="158"/>
      <c r="X23" s="158"/>
      <c r="Y23" s="158"/>
      <c r="Z23" s="214">
        <f t="shared" si="0"/>
        <v>0</v>
      </c>
    </row>
    <row r="24" spans="1:26">
      <c r="A24" s="58">
        <v>17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58"/>
      <c r="S24" s="158"/>
      <c r="T24" s="158"/>
      <c r="U24" s="158"/>
      <c r="V24" s="158"/>
      <c r="W24" s="158"/>
      <c r="X24" s="158"/>
      <c r="Y24" s="158"/>
      <c r="Z24" s="214">
        <f t="shared" si="0"/>
        <v>0</v>
      </c>
    </row>
    <row r="25" spans="1:26">
      <c r="A25" s="58">
        <v>18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58"/>
      <c r="S25" s="158"/>
      <c r="T25" s="158"/>
      <c r="U25" s="158"/>
      <c r="V25" s="158"/>
      <c r="W25" s="158"/>
      <c r="X25" s="158"/>
      <c r="Y25" s="158"/>
      <c r="Z25" s="214">
        <f t="shared" si="0"/>
        <v>0</v>
      </c>
    </row>
    <row r="26" spans="1:26">
      <c r="A26" s="58">
        <v>19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58"/>
      <c r="S26" s="158"/>
      <c r="T26" s="158"/>
      <c r="U26" s="158"/>
      <c r="V26" s="158"/>
      <c r="W26" s="158"/>
      <c r="X26" s="158"/>
      <c r="Y26" s="158"/>
      <c r="Z26" s="214">
        <f t="shared" si="0"/>
        <v>0</v>
      </c>
    </row>
    <row r="27" spans="1:26">
      <c r="A27" s="58">
        <v>20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58"/>
      <c r="S27" s="158"/>
      <c r="T27" s="158"/>
      <c r="U27" s="158"/>
      <c r="V27" s="158"/>
      <c r="W27" s="158"/>
      <c r="X27" s="158"/>
      <c r="Y27" s="158"/>
      <c r="Z27" s="214">
        <f t="shared" si="0"/>
        <v>0</v>
      </c>
    </row>
    <row r="28" spans="1:26">
      <c r="A28" s="58">
        <v>21</v>
      </c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58"/>
      <c r="S28" s="158"/>
      <c r="T28" s="158"/>
      <c r="U28" s="158"/>
      <c r="V28" s="158"/>
      <c r="W28" s="158"/>
      <c r="X28" s="158"/>
      <c r="Y28" s="158"/>
      <c r="Z28" s="214">
        <f>(D28-E28)*0.1+(F28-G28)*0.2+(H28-I28)*0.3+(J28-K28)*0.5+(L28-M28)*0.75+(N28-O28)*0.85+(P28-Q28)+(R28-S28)*1.1+(T28-U28)*1.25+(V28-W28)*1.5+(X28-Y28)*2.25</f>
        <v>0</v>
      </c>
    </row>
    <row r="29" spans="1:26">
      <c r="A29" s="58">
        <v>22</v>
      </c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58"/>
      <c r="S29" s="158"/>
      <c r="T29" s="158"/>
      <c r="U29" s="158"/>
      <c r="V29" s="158"/>
      <c r="W29" s="158"/>
      <c r="X29" s="158"/>
      <c r="Y29" s="158"/>
      <c r="Z29" s="214">
        <f t="shared" si="0"/>
        <v>0</v>
      </c>
    </row>
    <row r="30" spans="1:26">
      <c r="A30" s="58">
        <v>23</v>
      </c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58"/>
      <c r="S30" s="158"/>
      <c r="T30" s="158"/>
      <c r="U30" s="158"/>
      <c r="V30" s="158"/>
      <c r="W30" s="158"/>
      <c r="X30" s="158"/>
      <c r="Y30" s="158"/>
      <c r="Z30" s="214">
        <f t="shared" si="0"/>
        <v>0</v>
      </c>
    </row>
    <row r="31" spans="1:26">
      <c r="A31" s="58">
        <v>24</v>
      </c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58"/>
      <c r="S31" s="158"/>
      <c r="T31" s="158"/>
      <c r="U31" s="158"/>
      <c r="V31" s="158"/>
      <c r="W31" s="158"/>
      <c r="X31" s="158"/>
      <c r="Y31" s="158"/>
      <c r="Z31" s="214">
        <f t="shared" si="0"/>
        <v>0</v>
      </c>
    </row>
    <row r="32" spans="1:26">
      <c r="A32" s="58">
        <v>25</v>
      </c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58"/>
      <c r="S32" s="158"/>
      <c r="T32" s="158"/>
      <c r="U32" s="158"/>
      <c r="V32" s="158"/>
      <c r="W32" s="158"/>
      <c r="X32" s="158"/>
      <c r="Y32" s="158"/>
      <c r="Z32" s="214">
        <f t="shared" si="0"/>
        <v>0</v>
      </c>
    </row>
    <row r="33" spans="1:26">
      <c r="A33" s="58">
        <v>26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58"/>
      <c r="S33" s="158"/>
      <c r="T33" s="158"/>
      <c r="U33" s="158"/>
      <c r="V33" s="158"/>
      <c r="W33" s="158"/>
      <c r="X33" s="158"/>
      <c r="Y33" s="158"/>
      <c r="Z33" s="214">
        <f t="shared" si="0"/>
        <v>0</v>
      </c>
    </row>
    <row r="34" spans="1:26">
      <c r="A34" s="58">
        <v>27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58"/>
      <c r="S34" s="158"/>
      <c r="T34" s="158"/>
      <c r="U34" s="158"/>
      <c r="V34" s="158"/>
      <c r="W34" s="158"/>
      <c r="X34" s="158"/>
      <c r="Y34" s="158"/>
      <c r="Z34" s="214">
        <f t="shared" si="0"/>
        <v>0</v>
      </c>
    </row>
    <row r="35" spans="1:26">
      <c r="A35" s="58">
        <v>28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58"/>
      <c r="S35" s="158"/>
      <c r="T35" s="158"/>
      <c r="U35" s="158"/>
      <c r="V35" s="158"/>
      <c r="W35" s="158"/>
      <c r="X35" s="158"/>
      <c r="Y35" s="158"/>
      <c r="Z35" s="214">
        <f t="shared" si="0"/>
        <v>0</v>
      </c>
    </row>
    <row r="36" spans="1:26">
      <c r="A36" s="58">
        <v>29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58"/>
      <c r="S36" s="158"/>
      <c r="T36" s="158"/>
      <c r="U36" s="158"/>
      <c r="V36" s="158"/>
      <c r="W36" s="158"/>
      <c r="X36" s="158"/>
      <c r="Y36" s="158"/>
      <c r="Z36" s="214">
        <f t="shared" si="0"/>
        <v>0</v>
      </c>
    </row>
    <row r="37" spans="1:26">
      <c r="A37" s="58">
        <v>30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58"/>
      <c r="S37" s="158"/>
      <c r="T37" s="158"/>
      <c r="U37" s="158"/>
      <c r="V37" s="158"/>
      <c r="W37" s="158"/>
      <c r="X37" s="158"/>
      <c r="Y37" s="158"/>
      <c r="Z37" s="214">
        <f t="shared" si="0"/>
        <v>0</v>
      </c>
    </row>
    <row r="38" spans="1:26">
      <c r="A38" s="59">
        <v>31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58"/>
      <c r="S38" s="158"/>
      <c r="T38" s="158"/>
      <c r="U38" s="158"/>
      <c r="V38" s="158"/>
      <c r="W38" s="158"/>
      <c r="X38" s="158"/>
      <c r="Y38" s="158"/>
      <c r="Z38" s="214">
        <f>(D38-E38)*0.1+(F38-G38)*0.2+(H38-I38)*0.3+(J38-K38)*0.5+(L38-M38)*0.75+(N38-O38)*0.85+(P38-Q38)+(R38-S38)*1.1+(T38-U38)*1.25+(V38-W38)*1.5+(X38-Y38)*2.25</f>
        <v>0</v>
      </c>
    </row>
    <row r="39" spans="1:26" ht="24">
      <c r="A39" s="60" t="s">
        <v>10</v>
      </c>
      <c r="B39" s="205">
        <f t="shared" ref="B39:Z39" si="1">IF(ISERROR(SUM(B8:B38)/(Date2-Date1+1)),0,(SUM(B8:B38)/(Date2-Date1+1)))</f>
        <v>0</v>
      </c>
      <c r="C39" s="205">
        <f t="shared" si="1"/>
        <v>0</v>
      </c>
      <c r="D39" s="205">
        <f t="shared" si="1"/>
        <v>0</v>
      </c>
      <c r="E39" s="205">
        <f t="shared" si="1"/>
        <v>0</v>
      </c>
      <c r="F39" s="205">
        <f t="shared" si="1"/>
        <v>0</v>
      </c>
      <c r="G39" s="205">
        <f t="shared" si="1"/>
        <v>0</v>
      </c>
      <c r="H39" s="205">
        <f t="shared" si="1"/>
        <v>0</v>
      </c>
      <c r="I39" s="205">
        <f t="shared" si="1"/>
        <v>0</v>
      </c>
      <c r="J39" s="205">
        <f t="shared" si="1"/>
        <v>0</v>
      </c>
      <c r="K39" s="205">
        <f t="shared" si="1"/>
        <v>0</v>
      </c>
      <c r="L39" s="205">
        <f t="shared" si="1"/>
        <v>0</v>
      </c>
      <c r="M39" s="205">
        <f t="shared" si="1"/>
        <v>0</v>
      </c>
      <c r="N39" s="205">
        <f t="shared" si="1"/>
        <v>0</v>
      </c>
      <c r="O39" s="205">
        <f t="shared" si="1"/>
        <v>0</v>
      </c>
      <c r="P39" s="205">
        <f t="shared" si="1"/>
        <v>0</v>
      </c>
      <c r="Q39" s="205">
        <f t="shared" si="1"/>
        <v>0</v>
      </c>
      <c r="R39" s="205">
        <f t="shared" si="1"/>
        <v>0</v>
      </c>
      <c r="S39" s="205">
        <f t="shared" si="1"/>
        <v>0</v>
      </c>
      <c r="T39" s="205">
        <f t="shared" si="1"/>
        <v>0</v>
      </c>
      <c r="U39" s="205">
        <f t="shared" si="1"/>
        <v>0</v>
      </c>
      <c r="V39" s="205">
        <f t="shared" si="1"/>
        <v>0</v>
      </c>
      <c r="W39" s="205">
        <f t="shared" si="1"/>
        <v>0</v>
      </c>
      <c r="X39" s="205">
        <f t="shared" si="1"/>
        <v>0</v>
      </c>
      <c r="Y39" s="205">
        <f t="shared" si="1"/>
        <v>0</v>
      </c>
      <c r="Z39" s="205">
        <f t="shared" si="1"/>
        <v>0</v>
      </c>
    </row>
    <row r="40" spans="1:26">
      <c r="A40" s="61"/>
      <c r="B40" s="61"/>
      <c r="C40" s="61"/>
      <c r="D40" s="61"/>
    </row>
    <row r="42" spans="1:26" s="63" customFormat="1" ht="12">
      <c r="A42" s="62"/>
      <c r="F42" s="64"/>
      <c r="G42" s="64"/>
      <c r="H42" s="64"/>
      <c r="I42" s="64"/>
      <c r="J42" s="64"/>
      <c r="K42" s="64"/>
      <c r="L42" s="64"/>
      <c r="M42" s="64"/>
      <c r="N42" s="64"/>
      <c r="O42" s="64"/>
    </row>
    <row r="43" spans="1:26" s="63" customFormat="1" ht="12">
      <c r="A43" s="65"/>
      <c r="F43" s="64"/>
      <c r="G43" s="64"/>
      <c r="H43" s="64"/>
      <c r="I43" s="64"/>
      <c r="J43" s="64"/>
      <c r="K43" s="64"/>
      <c r="L43" s="64"/>
      <c r="M43" s="64"/>
      <c r="N43" s="64"/>
      <c r="O43" s="64"/>
    </row>
    <row r="44" spans="1:26" s="63" customFormat="1" ht="12">
      <c r="A44" s="65"/>
      <c r="F44" s="64"/>
      <c r="G44" s="64"/>
      <c r="H44" s="64"/>
      <c r="I44" s="64"/>
      <c r="J44" s="64"/>
      <c r="K44" s="64"/>
      <c r="L44" s="64"/>
      <c r="M44" s="64"/>
      <c r="N44" s="64"/>
      <c r="O44" s="64"/>
    </row>
    <row r="45" spans="1:26" s="63" customFormat="1" ht="12">
      <c r="F45" s="64"/>
      <c r="G45" s="64"/>
      <c r="H45" s="64"/>
      <c r="I45" s="64"/>
      <c r="J45" s="64"/>
      <c r="K45" s="64"/>
      <c r="L45" s="64"/>
      <c r="M45" s="64"/>
      <c r="N45" s="64"/>
      <c r="O45" s="64"/>
    </row>
  </sheetData>
  <sheetProtection password="A028" sheet="1"/>
  <mergeCells count="4">
    <mergeCell ref="A5:Z5"/>
    <mergeCell ref="A4:Z4"/>
    <mergeCell ref="A2:Z2"/>
    <mergeCell ref="A1:Z1"/>
  </mergeCells>
  <phoneticPr fontId="0" type="noConversion"/>
  <pageMargins left="0.75" right="0.75" top="1" bottom="1" header="0.5" footer="0.5"/>
  <pageSetup scale="83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39"/>
  <sheetViews>
    <sheetView showGridLines="0" zoomScaleNormal="100" workbookViewId="0">
      <selection activeCell="A3" sqref="A3"/>
    </sheetView>
  </sheetViews>
  <sheetFormatPr defaultRowHeight="12.75"/>
  <cols>
    <col min="1" max="1" width="9.140625" style="19" customWidth="1"/>
    <col min="2" max="2" width="19.42578125" style="19" customWidth="1"/>
    <col min="3" max="3" width="19" style="19" customWidth="1"/>
    <col min="4" max="4" width="19.7109375" style="19" customWidth="1"/>
    <col min="5" max="5" width="21.140625" style="19" customWidth="1"/>
    <col min="6" max="6" width="19.140625" style="19" customWidth="1"/>
    <col min="7" max="16384" width="9.140625" style="19"/>
  </cols>
  <sheetData>
    <row r="1" spans="1:6" s="6" customFormat="1" ht="15">
      <c r="A1" s="237" t="s">
        <v>54</v>
      </c>
      <c r="B1" s="237"/>
      <c r="C1" s="237"/>
      <c r="D1" s="237"/>
      <c r="E1" s="237"/>
      <c r="F1" s="237"/>
    </row>
    <row r="2" spans="1:6" s="6" customFormat="1" ht="15">
      <c r="A2" s="237"/>
      <c r="B2" s="237"/>
      <c r="C2" s="237"/>
      <c r="D2" s="237"/>
      <c r="E2" s="237"/>
      <c r="F2" s="237"/>
    </row>
    <row r="3" spans="1:6" s="6" customFormat="1">
      <c r="A3" s="16"/>
      <c r="B3" s="3"/>
      <c r="C3" s="16"/>
      <c r="D3" s="16"/>
      <c r="E3" s="3"/>
      <c r="F3" s="3"/>
    </row>
    <row r="4" spans="1:6" s="6" customFormat="1" ht="15">
      <c r="A4" s="245" t="s">
        <v>55</v>
      </c>
      <c r="B4" s="246"/>
      <c r="C4" s="246"/>
      <c r="D4" s="246"/>
      <c r="E4" s="246"/>
      <c r="F4" s="247"/>
    </row>
    <row r="5" spans="1:6" s="6" customFormat="1">
      <c r="A5" s="248" t="s">
        <v>6</v>
      </c>
      <c r="B5" s="250" t="s">
        <v>56</v>
      </c>
      <c r="C5" s="250" t="s">
        <v>57</v>
      </c>
      <c r="D5" s="250" t="s">
        <v>58</v>
      </c>
      <c r="E5" s="250" t="s">
        <v>59</v>
      </c>
      <c r="F5" s="250" t="s">
        <v>60</v>
      </c>
    </row>
    <row r="6" spans="1:6">
      <c r="A6" s="249"/>
      <c r="B6" s="251"/>
      <c r="C6" s="251"/>
      <c r="D6" s="251"/>
      <c r="E6" s="251"/>
      <c r="F6" s="251"/>
    </row>
    <row r="7" spans="1:6">
      <c r="A7" s="125"/>
      <c r="B7" s="128">
        <v>1</v>
      </c>
      <c r="C7" s="128">
        <v>2</v>
      </c>
      <c r="D7" s="128">
        <v>3</v>
      </c>
      <c r="E7" s="128">
        <v>4</v>
      </c>
      <c r="F7" s="128">
        <v>5</v>
      </c>
    </row>
    <row r="8" spans="1:6">
      <c r="A8" s="129">
        <v>1</v>
      </c>
      <c r="B8" s="130"/>
      <c r="C8" s="130"/>
      <c r="D8" s="130"/>
      <c r="E8" s="131">
        <f>MAX(B8,C8)+D8</f>
        <v>0</v>
      </c>
      <c r="F8" s="132">
        <f>E8*12%</f>
        <v>0</v>
      </c>
    </row>
    <row r="9" spans="1:6">
      <c r="A9" s="126">
        <v>2</v>
      </c>
      <c r="B9" s="133"/>
      <c r="C9" s="133"/>
      <c r="D9" s="133"/>
      <c r="E9" s="134">
        <f t="shared" ref="E9:E38" si="0">MAX(B9,C9)+D9</f>
        <v>0</v>
      </c>
      <c r="F9" s="135">
        <f>E9*12%</f>
        <v>0</v>
      </c>
    </row>
    <row r="10" spans="1:6">
      <c r="A10" s="126">
        <v>3</v>
      </c>
      <c r="B10" s="133"/>
      <c r="C10" s="133"/>
      <c r="D10" s="133"/>
      <c r="E10" s="134">
        <f t="shared" si="0"/>
        <v>0</v>
      </c>
      <c r="F10" s="135">
        <f>E10*12%</f>
        <v>0</v>
      </c>
    </row>
    <row r="11" spans="1:6">
      <c r="A11" s="126">
        <v>4</v>
      </c>
      <c r="B11" s="133"/>
      <c r="C11" s="133"/>
      <c r="D11" s="133"/>
      <c r="E11" s="134">
        <f t="shared" si="0"/>
        <v>0</v>
      </c>
      <c r="F11" s="135">
        <f>E11*12%</f>
        <v>0</v>
      </c>
    </row>
    <row r="12" spans="1:6">
      <c r="A12" s="126">
        <v>5</v>
      </c>
      <c r="B12" s="133"/>
      <c r="C12" s="133"/>
      <c r="D12" s="133"/>
      <c r="E12" s="134">
        <f t="shared" si="0"/>
        <v>0</v>
      </c>
      <c r="F12" s="135">
        <f t="shared" ref="F12:F36" si="1">E12*12%</f>
        <v>0</v>
      </c>
    </row>
    <row r="13" spans="1:6">
      <c r="A13" s="126">
        <v>6</v>
      </c>
      <c r="B13" s="133"/>
      <c r="C13" s="133"/>
      <c r="D13" s="133"/>
      <c r="E13" s="134">
        <f t="shared" si="0"/>
        <v>0</v>
      </c>
      <c r="F13" s="135">
        <f t="shared" si="1"/>
        <v>0</v>
      </c>
    </row>
    <row r="14" spans="1:6">
      <c r="A14" s="126">
        <v>7</v>
      </c>
      <c r="B14" s="133"/>
      <c r="C14" s="133"/>
      <c r="D14" s="133"/>
      <c r="E14" s="134">
        <f t="shared" si="0"/>
        <v>0</v>
      </c>
      <c r="F14" s="135">
        <f t="shared" si="1"/>
        <v>0</v>
      </c>
    </row>
    <row r="15" spans="1:6">
      <c r="A15" s="126">
        <v>8</v>
      </c>
      <c r="B15" s="133"/>
      <c r="C15" s="133"/>
      <c r="D15" s="133"/>
      <c r="E15" s="134">
        <f t="shared" si="0"/>
        <v>0</v>
      </c>
      <c r="F15" s="135">
        <f t="shared" si="1"/>
        <v>0</v>
      </c>
    </row>
    <row r="16" spans="1:6">
      <c r="A16" s="126">
        <v>9</v>
      </c>
      <c r="B16" s="133"/>
      <c r="C16" s="133"/>
      <c r="D16" s="133"/>
      <c r="E16" s="134">
        <f t="shared" si="0"/>
        <v>0</v>
      </c>
      <c r="F16" s="135">
        <f t="shared" si="1"/>
        <v>0</v>
      </c>
    </row>
    <row r="17" spans="1:6">
      <c r="A17" s="126">
        <v>10</v>
      </c>
      <c r="B17" s="133"/>
      <c r="C17" s="133"/>
      <c r="D17" s="133"/>
      <c r="E17" s="134">
        <f t="shared" si="0"/>
        <v>0</v>
      </c>
      <c r="F17" s="135">
        <f t="shared" si="1"/>
        <v>0</v>
      </c>
    </row>
    <row r="18" spans="1:6">
      <c r="A18" s="126">
        <v>11</v>
      </c>
      <c r="B18" s="133"/>
      <c r="C18" s="133"/>
      <c r="D18" s="133"/>
      <c r="E18" s="134">
        <f t="shared" si="0"/>
        <v>0</v>
      </c>
      <c r="F18" s="135">
        <f t="shared" si="1"/>
        <v>0</v>
      </c>
    </row>
    <row r="19" spans="1:6">
      <c r="A19" s="126">
        <v>12</v>
      </c>
      <c r="B19" s="133"/>
      <c r="C19" s="133"/>
      <c r="D19" s="133"/>
      <c r="E19" s="134">
        <f t="shared" si="0"/>
        <v>0</v>
      </c>
      <c r="F19" s="135">
        <f t="shared" si="1"/>
        <v>0</v>
      </c>
    </row>
    <row r="20" spans="1:6">
      <c r="A20" s="126">
        <v>13</v>
      </c>
      <c r="B20" s="133"/>
      <c r="C20" s="133"/>
      <c r="D20" s="133"/>
      <c r="E20" s="134">
        <f t="shared" si="0"/>
        <v>0</v>
      </c>
      <c r="F20" s="135">
        <f t="shared" si="1"/>
        <v>0</v>
      </c>
    </row>
    <row r="21" spans="1:6">
      <c r="A21" s="126">
        <v>14</v>
      </c>
      <c r="B21" s="133"/>
      <c r="C21" s="133"/>
      <c r="D21" s="133"/>
      <c r="E21" s="134">
        <f t="shared" si="0"/>
        <v>0</v>
      </c>
      <c r="F21" s="135">
        <f t="shared" si="1"/>
        <v>0</v>
      </c>
    </row>
    <row r="22" spans="1:6">
      <c r="A22" s="126">
        <v>15</v>
      </c>
      <c r="B22" s="133"/>
      <c r="C22" s="133"/>
      <c r="D22" s="133"/>
      <c r="E22" s="134">
        <f t="shared" si="0"/>
        <v>0</v>
      </c>
      <c r="F22" s="135">
        <f t="shared" si="1"/>
        <v>0</v>
      </c>
    </row>
    <row r="23" spans="1:6">
      <c r="A23" s="126">
        <v>16</v>
      </c>
      <c r="B23" s="133"/>
      <c r="C23" s="133"/>
      <c r="D23" s="133"/>
      <c r="E23" s="134">
        <f t="shared" si="0"/>
        <v>0</v>
      </c>
      <c r="F23" s="135">
        <f t="shared" si="1"/>
        <v>0</v>
      </c>
    </row>
    <row r="24" spans="1:6">
      <c r="A24" s="126">
        <v>17</v>
      </c>
      <c r="B24" s="133"/>
      <c r="C24" s="133"/>
      <c r="D24" s="133"/>
      <c r="E24" s="134">
        <f t="shared" si="0"/>
        <v>0</v>
      </c>
      <c r="F24" s="135">
        <f t="shared" si="1"/>
        <v>0</v>
      </c>
    </row>
    <row r="25" spans="1:6">
      <c r="A25" s="126">
        <v>18</v>
      </c>
      <c r="B25" s="133"/>
      <c r="C25" s="133"/>
      <c r="D25" s="133"/>
      <c r="E25" s="134">
        <f t="shared" si="0"/>
        <v>0</v>
      </c>
      <c r="F25" s="135">
        <f t="shared" si="1"/>
        <v>0</v>
      </c>
    </row>
    <row r="26" spans="1:6">
      <c r="A26" s="126">
        <v>19</v>
      </c>
      <c r="B26" s="133"/>
      <c r="C26" s="133"/>
      <c r="D26" s="133"/>
      <c r="E26" s="134">
        <f t="shared" si="0"/>
        <v>0</v>
      </c>
      <c r="F26" s="135">
        <f t="shared" si="1"/>
        <v>0</v>
      </c>
    </row>
    <row r="27" spans="1:6">
      <c r="A27" s="126">
        <v>20</v>
      </c>
      <c r="B27" s="133"/>
      <c r="C27" s="133"/>
      <c r="D27" s="133"/>
      <c r="E27" s="134">
        <f t="shared" si="0"/>
        <v>0</v>
      </c>
      <c r="F27" s="135">
        <f t="shared" si="1"/>
        <v>0</v>
      </c>
    </row>
    <row r="28" spans="1:6">
      <c r="A28" s="126">
        <v>21</v>
      </c>
      <c r="B28" s="133"/>
      <c r="C28" s="133"/>
      <c r="D28" s="133"/>
      <c r="E28" s="134">
        <f t="shared" si="0"/>
        <v>0</v>
      </c>
      <c r="F28" s="135">
        <f t="shared" si="1"/>
        <v>0</v>
      </c>
    </row>
    <row r="29" spans="1:6">
      <c r="A29" s="126">
        <v>22</v>
      </c>
      <c r="B29" s="133"/>
      <c r="C29" s="133"/>
      <c r="D29" s="133"/>
      <c r="E29" s="134">
        <f t="shared" si="0"/>
        <v>0</v>
      </c>
      <c r="F29" s="135">
        <f t="shared" si="1"/>
        <v>0</v>
      </c>
    </row>
    <row r="30" spans="1:6">
      <c r="A30" s="126">
        <v>23</v>
      </c>
      <c r="B30" s="133"/>
      <c r="C30" s="133"/>
      <c r="D30" s="133"/>
      <c r="E30" s="134">
        <f t="shared" si="0"/>
        <v>0</v>
      </c>
      <c r="F30" s="135">
        <f t="shared" si="1"/>
        <v>0</v>
      </c>
    </row>
    <row r="31" spans="1:6">
      <c r="A31" s="126">
        <v>24</v>
      </c>
      <c r="B31" s="133"/>
      <c r="C31" s="133"/>
      <c r="D31" s="133"/>
      <c r="E31" s="134">
        <f t="shared" si="0"/>
        <v>0</v>
      </c>
      <c r="F31" s="135">
        <f t="shared" si="1"/>
        <v>0</v>
      </c>
    </row>
    <row r="32" spans="1:6">
      <c r="A32" s="126">
        <v>25</v>
      </c>
      <c r="B32" s="133"/>
      <c r="C32" s="133"/>
      <c r="D32" s="133"/>
      <c r="E32" s="134">
        <f t="shared" si="0"/>
        <v>0</v>
      </c>
      <c r="F32" s="135">
        <f t="shared" si="1"/>
        <v>0</v>
      </c>
    </row>
    <row r="33" spans="1:6">
      <c r="A33" s="126">
        <v>26</v>
      </c>
      <c r="B33" s="133"/>
      <c r="C33" s="133"/>
      <c r="D33" s="133"/>
      <c r="E33" s="134">
        <f t="shared" si="0"/>
        <v>0</v>
      </c>
      <c r="F33" s="135">
        <f t="shared" si="1"/>
        <v>0</v>
      </c>
    </row>
    <row r="34" spans="1:6">
      <c r="A34" s="126">
        <v>27</v>
      </c>
      <c r="B34" s="133"/>
      <c r="C34" s="133"/>
      <c r="D34" s="133"/>
      <c r="E34" s="134">
        <f t="shared" si="0"/>
        <v>0</v>
      </c>
      <c r="F34" s="135">
        <f t="shared" si="1"/>
        <v>0</v>
      </c>
    </row>
    <row r="35" spans="1:6">
      <c r="A35" s="126">
        <v>28</v>
      </c>
      <c r="B35" s="133"/>
      <c r="C35" s="133"/>
      <c r="D35" s="133"/>
      <c r="E35" s="134">
        <f t="shared" si="0"/>
        <v>0</v>
      </c>
      <c r="F35" s="135">
        <f t="shared" si="1"/>
        <v>0</v>
      </c>
    </row>
    <row r="36" spans="1:6">
      <c r="A36" s="126">
        <v>29</v>
      </c>
      <c r="B36" s="133"/>
      <c r="C36" s="133"/>
      <c r="D36" s="133"/>
      <c r="E36" s="134">
        <f t="shared" si="0"/>
        <v>0</v>
      </c>
      <c r="F36" s="135">
        <f t="shared" si="1"/>
        <v>0</v>
      </c>
    </row>
    <row r="37" spans="1:6">
      <c r="A37" s="126">
        <v>30</v>
      </c>
      <c r="B37" s="133"/>
      <c r="C37" s="133"/>
      <c r="D37" s="133"/>
      <c r="E37" s="134">
        <f t="shared" si="0"/>
        <v>0</v>
      </c>
      <c r="F37" s="135">
        <f>E37*12%</f>
        <v>0</v>
      </c>
    </row>
    <row r="38" spans="1:6">
      <c r="A38" s="136">
        <v>31</v>
      </c>
      <c r="B38" s="137"/>
      <c r="C38" s="137"/>
      <c r="D38" s="137"/>
      <c r="E38" s="138">
        <f t="shared" si="0"/>
        <v>0</v>
      </c>
      <c r="F38" s="135">
        <f>E38*12%</f>
        <v>0</v>
      </c>
    </row>
    <row r="39" spans="1:6">
      <c r="A39" s="139" t="s">
        <v>61</v>
      </c>
      <c r="B39" s="140"/>
      <c r="C39" s="140"/>
      <c r="D39" s="140"/>
      <c r="E39" s="141"/>
      <c r="F39" s="141">
        <f>MAX(F8:F38)</f>
        <v>0</v>
      </c>
    </row>
  </sheetData>
  <sheetProtection password="A028" sheet="1" objects="1" scenarios="1"/>
  <mergeCells count="9">
    <mergeCell ref="A1:F1"/>
    <mergeCell ref="A2:F2"/>
    <mergeCell ref="A4:F4"/>
    <mergeCell ref="A5:A6"/>
    <mergeCell ref="B5:B6"/>
    <mergeCell ref="C5:C6"/>
    <mergeCell ref="D5:D6"/>
    <mergeCell ref="E5:E6"/>
    <mergeCell ref="F5:F6"/>
  </mergeCells>
  <phoneticPr fontId="0" type="noConversion"/>
  <pageMargins left="0.75" right="0.75" top="1" bottom="1" header="0.5" footer="0.5"/>
  <pageSetup scale="6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41"/>
  <sheetViews>
    <sheetView showGridLines="0" zoomScaleNormal="100" workbookViewId="0">
      <selection activeCell="A3" sqref="A3"/>
    </sheetView>
  </sheetViews>
  <sheetFormatPr defaultRowHeight="12.75"/>
  <cols>
    <col min="1" max="1" width="9.140625" style="19" customWidth="1"/>
    <col min="2" max="2" width="19.42578125" style="19" customWidth="1"/>
    <col min="3" max="3" width="19" style="19" customWidth="1"/>
    <col min="4" max="4" width="19.7109375" style="19" customWidth="1"/>
    <col min="5" max="5" width="21.140625" style="19" customWidth="1"/>
    <col min="6" max="6" width="19.140625" style="19" customWidth="1"/>
    <col min="7" max="16384" width="9.140625" style="19"/>
  </cols>
  <sheetData>
    <row r="1" spans="1:6" s="6" customFormat="1" ht="15">
      <c r="A1" s="237" t="s">
        <v>54</v>
      </c>
      <c r="B1" s="237"/>
      <c r="C1" s="237"/>
      <c r="D1" s="237"/>
      <c r="E1" s="237"/>
      <c r="F1" s="237"/>
    </row>
    <row r="2" spans="1:6" s="6" customFormat="1" ht="15">
      <c r="A2" s="237"/>
      <c r="B2" s="237"/>
      <c r="C2" s="237"/>
      <c r="D2" s="237"/>
      <c r="E2" s="237"/>
      <c r="F2" s="237"/>
    </row>
    <row r="3" spans="1:6" s="6" customFormat="1" ht="15.75">
      <c r="A3" s="120"/>
      <c r="B3" s="120"/>
      <c r="C3" s="127" t="s">
        <v>62</v>
      </c>
      <c r="D3" s="120"/>
      <c r="E3" s="120"/>
      <c r="F3" s="120"/>
    </row>
    <row r="7" spans="1:6">
      <c r="A7" s="253" t="s">
        <v>6</v>
      </c>
      <c r="B7" s="252" t="s">
        <v>63</v>
      </c>
      <c r="C7" s="255" t="s">
        <v>64</v>
      </c>
      <c r="D7" s="256" t="s">
        <v>65</v>
      </c>
      <c r="E7" s="252" t="s">
        <v>66</v>
      </c>
      <c r="F7" s="252" t="s">
        <v>67</v>
      </c>
    </row>
    <row r="8" spans="1:6" ht="26.25" customHeight="1">
      <c r="A8" s="254"/>
      <c r="B8" s="252"/>
      <c r="C8" s="255"/>
      <c r="D8" s="257"/>
      <c r="E8" s="252"/>
      <c r="F8" s="252"/>
    </row>
    <row r="9" spans="1:6">
      <c r="A9" s="142"/>
      <c r="B9" s="148">
        <v>1</v>
      </c>
      <c r="C9" s="149">
        <v>2</v>
      </c>
      <c r="D9" s="149">
        <v>3</v>
      </c>
      <c r="E9" s="148">
        <v>4</v>
      </c>
      <c r="F9" s="148">
        <v>5</v>
      </c>
    </row>
    <row r="10" spans="1:6">
      <c r="A10" s="143">
        <v>1</v>
      </c>
      <c r="B10" s="150"/>
      <c r="C10" s="151">
        <f>SUMIF(A10:A40,DAY(Sheet1!F11),B10:B40)*SQRT(10)</f>
        <v>0</v>
      </c>
      <c r="D10" s="152"/>
      <c r="E10" s="153">
        <f>IF(D10&lt;=4,3,IF(D10=5,3.4,IF(D10=6,3.5,IF(D10=7,3.65,IF(D10=8,3.75,IF(D10=9,3.85,IF(D10&gt;=10,4,)))))))</f>
        <v>3</v>
      </c>
      <c r="F10" s="154">
        <f>IF(B41="",0,3*(MAX(C10,E10*B41)))</f>
        <v>0</v>
      </c>
    </row>
    <row r="11" spans="1:6">
      <c r="A11" s="144">
        <v>2</v>
      </c>
      <c r="B11" s="150"/>
      <c r="C11" s="155"/>
      <c r="D11" s="155"/>
      <c r="E11" s="155"/>
      <c r="F11" s="155"/>
    </row>
    <row r="12" spans="1:6">
      <c r="A12" s="144">
        <v>3</v>
      </c>
      <c r="B12" s="150"/>
      <c r="C12" s="155"/>
      <c r="D12" s="155"/>
      <c r="E12" s="155"/>
      <c r="F12" s="155"/>
    </row>
    <row r="13" spans="1:6">
      <c r="A13" s="144">
        <v>4</v>
      </c>
      <c r="B13" s="150"/>
      <c r="C13" s="155"/>
      <c r="D13" s="155"/>
      <c r="E13" s="155"/>
      <c r="F13" s="155"/>
    </row>
    <row r="14" spans="1:6">
      <c r="A14" s="144">
        <v>5</v>
      </c>
      <c r="B14" s="150"/>
      <c r="C14" s="155"/>
      <c r="D14" s="155"/>
      <c r="E14" s="155"/>
      <c r="F14" s="155"/>
    </row>
    <row r="15" spans="1:6">
      <c r="A15" s="144">
        <v>6</v>
      </c>
      <c r="B15" s="150"/>
      <c r="C15" s="155"/>
      <c r="D15" s="155"/>
      <c r="E15" s="155"/>
      <c r="F15" s="155"/>
    </row>
    <row r="16" spans="1:6">
      <c r="A16" s="144">
        <v>7</v>
      </c>
      <c r="B16" s="150"/>
      <c r="C16" s="155"/>
      <c r="D16" s="155"/>
      <c r="E16" s="155"/>
      <c r="F16" s="155"/>
    </row>
    <row r="17" spans="1:6">
      <c r="A17" s="144">
        <v>8</v>
      </c>
      <c r="B17" s="150"/>
      <c r="C17" s="155"/>
      <c r="D17" s="155"/>
      <c r="E17" s="155"/>
      <c r="F17" s="155"/>
    </row>
    <row r="18" spans="1:6">
      <c r="A18" s="144">
        <v>9</v>
      </c>
      <c r="B18" s="150"/>
      <c r="C18" s="155"/>
      <c r="D18" s="155"/>
      <c r="E18" s="155"/>
      <c r="F18" s="155"/>
    </row>
    <row r="19" spans="1:6">
      <c r="A19" s="144">
        <v>10</v>
      </c>
      <c r="B19" s="150"/>
      <c r="C19" s="155"/>
      <c r="D19" s="155"/>
      <c r="E19" s="155"/>
      <c r="F19" s="155"/>
    </row>
    <row r="20" spans="1:6">
      <c r="A20" s="144">
        <v>11</v>
      </c>
      <c r="B20" s="150"/>
      <c r="C20" s="155"/>
      <c r="D20" s="155"/>
      <c r="E20" s="155"/>
      <c r="F20" s="155"/>
    </row>
    <row r="21" spans="1:6">
      <c r="A21" s="144">
        <v>12</v>
      </c>
      <c r="B21" s="150"/>
      <c r="C21" s="155"/>
      <c r="D21" s="155"/>
      <c r="E21" s="155"/>
      <c r="F21" s="155"/>
    </row>
    <row r="22" spans="1:6">
      <c r="A22" s="144">
        <v>13</v>
      </c>
      <c r="B22" s="150"/>
      <c r="C22" s="155"/>
      <c r="D22" s="155"/>
      <c r="E22" s="155"/>
      <c r="F22" s="155"/>
    </row>
    <row r="23" spans="1:6">
      <c r="A23" s="144">
        <v>14</v>
      </c>
      <c r="B23" s="150"/>
      <c r="C23" s="155"/>
      <c r="D23" s="155"/>
      <c r="E23" s="155"/>
      <c r="F23" s="155"/>
    </row>
    <row r="24" spans="1:6">
      <c r="A24" s="144">
        <v>15</v>
      </c>
      <c r="B24" s="150"/>
      <c r="C24" s="155"/>
      <c r="D24" s="155"/>
      <c r="E24" s="155"/>
      <c r="F24" s="155"/>
    </row>
    <row r="25" spans="1:6">
      <c r="A25" s="144">
        <v>16</v>
      </c>
      <c r="B25" s="150"/>
      <c r="C25" s="155"/>
      <c r="D25" s="155"/>
      <c r="E25" s="155"/>
      <c r="F25" s="155"/>
    </row>
    <row r="26" spans="1:6">
      <c r="A26" s="144">
        <v>17</v>
      </c>
      <c r="B26" s="150"/>
      <c r="C26" s="155"/>
      <c r="D26" s="155"/>
      <c r="E26" s="155"/>
      <c r="F26" s="155"/>
    </row>
    <row r="27" spans="1:6">
      <c r="A27" s="144">
        <v>18</v>
      </c>
      <c r="B27" s="150"/>
      <c r="C27" s="155"/>
      <c r="D27" s="155"/>
      <c r="E27" s="155"/>
      <c r="F27" s="155"/>
    </row>
    <row r="28" spans="1:6">
      <c r="A28" s="144">
        <v>19</v>
      </c>
      <c r="B28" s="150"/>
      <c r="C28" s="155"/>
      <c r="D28" s="155"/>
      <c r="E28" s="155"/>
      <c r="F28" s="155"/>
    </row>
    <row r="29" spans="1:6">
      <c r="A29" s="144">
        <v>20</v>
      </c>
      <c r="B29" s="150"/>
      <c r="C29" s="155"/>
      <c r="D29" s="155"/>
      <c r="E29" s="155"/>
      <c r="F29" s="155"/>
    </row>
    <row r="30" spans="1:6">
      <c r="A30" s="144">
        <v>21</v>
      </c>
      <c r="B30" s="150"/>
      <c r="C30" s="155"/>
      <c r="D30" s="155"/>
      <c r="E30" s="155"/>
      <c r="F30" s="155"/>
    </row>
    <row r="31" spans="1:6">
      <c r="A31" s="144">
        <v>22</v>
      </c>
      <c r="B31" s="150"/>
      <c r="C31" s="155"/>
      <c r="D31" s="155"/>
      <c r="E31" s="155"/>
      <c r="F31" s="155"/>
    </row>
    <row r="32" spans="1:6">
      <c r="A32" s="144">
        <v>23</v>
      </c>
      <c r="B32" s="150"/>
      <c r="C32" s="155"/>
      <c r="D32" s="155"/>
      <c r="E32" s="155"/>
      <c r="F32" s="155"/>
    </row>
    <row r="33" spans="1:6">
      <c r="A33" s="144">
        <v>24</v>
      </c>
      <c r="B33" s="150"/>
      <c r="C33" s="155"/>
      <c r="D33" s="155"/>
      <c r="E33" s="155"/>
      <c r="F33" s="155"/>
    </row>
    <row r="34" spans="1:6">
      <c r="A34" s="144">
        <v>25</v>
      </c>
      <c r="B34" s="150"/>
      <c r="C34" s="155"/>
      <c r="D34" s="155"/>
      <c r="E34" s="155"/>
      <c r="F34" s="155"/>
    </row>
    <row r="35" spans="1:6">
      <c r="A35" s="144">
        <v>26</v>
      </c>
      <c r="B35" s="150"/>
      <c r="C35" s="155"/>
      <c r="D35" s="155"/>
      <c r="E35" s="155"/>
      <c r="F35" s="155"/>
    </row>
    <row r="36" spans="1:6">
      <c r="A36" s="144">
        <v>27</v>
      </c>
      <c r="B36" s="150"/>
      <c r="C36" s="155"/>
      <c r="D36" s="155"/>
      <c r="E36" s="155"/>
      <c r="F36" s="155"/>
    </row>
    <row r="37" spans="1:6">
      <c r="A37" s="144">
        <v>28</v>
      </c>
      <c r="B37" s="150"/>
      <c r="C37" s="155"/>
      <c r="D37" s="155"/>
      <c r="E37" s="155"/>
      <c r="F37" s="155"/>
    </row>
    <row r="38" spans="1:6">
      <c r="A38" s="144">
        <v>29</v>
      </c>
      <c r="B38" s="150"/>
      <c r="C38" s="155"/>
      <c r="D38" s="155"/>
      <c r="E38" s="155"/>
      <c r="F38" s="155"/>
    </row>
    <row r="39" spans="1:6">
      <c r="A39" s="144">
        <v>30</v>
      </c>
      <c r="B39" s="150"/>
      <c r="C39" s="155"/>
      <c r="D39" s="155"/>
      <c r="E39" s="155"/>
      <c r="F39" s="155"/>
    </row>
    <row r="40" spans="1:6">
      <c r="A40" s="145">
        <v>31</v>
      </c>
      <c r="B40" s="150"/>
      <c r="C40" s="155"/>
      <c r="D40" s="155"/>
      <c r="E40" s="155"/>
      <c r="F40" s="156" t="s">
        <v>68</v>
      </c>
    </row>
    <row r="41" spans="1:6">
      <c r="A41" s="146" t="s">
        <v>10</v>
      </c>
      <c r="B41" s="147" t="str">
        <f>IF(ISERROR(AVERAGE(B10:B40)),"",(AVERAGE(B10:B40)))</f>
        <v/>
      </c>
      <c r="C41" s="155"/>
      <c r="D41" s="155"/>
      <c r="E41" s="155"/>
      <c r="F41" s="155"/>
    </row>
  </sheetData>
  <sheetProtection password="A028" sheet="1"/>
  <mergeCells count="8">
    <mergeCell ref="A1:F1"/>
    <mergeCell ref="A2:F2"/>
    <mergeCell ref="E7:E8"/>
    <mergeCell ref="F7:F8"/>
    <mergeCell ref="A7:A8"/>
    <mergeCell ref="B7:B8"/>
    <mergeCell ref="C7:C8"/>
    <mergeCell ref="D7:D8"/>
  </mergeCells>
  <pageMargins left="0.75" right="0.75" top="1" bottom="1" header="0.5" footer="0.5"/>
  <pageSetup scale="66" orientation="landscape" r:id="rId1"/>
  <headerFooter alignWithMargins="0"/>
  <ignoredErrors>
    <ignoredError sqref="B4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84"/>
  <sheetViews>
    <sheetView workbookViewId="0">
      <selection activeCell="A3" sqref="A3"/>
    </sheetView>
  </sheetViews>
  <sheetFormatPr defaultRowHeight="12.75"/>
  <cols>
    <col min="1" max="1" width="6.42578125" customWidth="1"/>
    <col min="2" max="7" width="20.42578125" customWidth="1"/>
    <col min="8" max="16" width="9.140625" style="194" customWidth="1"/>
    <col min="17" max="17" width="39.7109375" style="195" hidden="1" customWidth="1"/>
    <col min="18" max="18" width="13.42578125" style="195" hidden="1" customWidth="1"/>
    <col min="19" max="19" width="9.42578125" style="195" hidden="1" customWidth="1"/>
    <col min="20" max="20" width="13.5703125" style="195" hidden="1" customWidth="1"/>
    <col min="21" max="74" width="9.140625" style="194" customWidth="1"/>
  </cols>
  <sheetData>
    <row r="1" spans="1:20" ht="18.75">
      <c r="A1" s="258" t="s">
        <v>87</v>
      </c>
      <c r="B1" s="258"/>
      <c r="C1" s="258"/>
      <c r="D1" s="258"/>
      <c r="E1" s="258"/>
      <c r="F1" s="258"/>
      <c r="G1" s="258"/>
    </row>
    <row r="2" spans="1:20" ht="15">
      <c r="A2" s="172"/>
      <c r="B2" s="172"/>
      <c r="C2" s="172"/>
      <c r="D2" s="172"/>
      <c r="E2" s="172"/>
      <c r="F2" s="172"/>
      <c r="G2" s="191"/>
    </row>
    <row r="3" spans="1:20" ht="15">
      <c r="A3" s="172"/>
      <c r="B3" s="172"/>
      <c r="C3" s="172"/>
      <c r="D3" s="172"/>
      <c r="E3" s="172"/>
      <c r="F3" s="172"/>
      <c r="G3" s="192"/>
    </row>
    <row r="4" spans="1:20" ht="24">
      <c r="A4" s="173" t="s">
        <v>88</v>
      </c>
      <c r="B4" s="174" t="s">
        <v>89</v>
      </c>
      <c r="C4" s="174" t="s">
        <v>90</v>
      </c>
      <c r="D4" s="174" t="s">
        <v>91</v>
      </c>
      <c r="E4" s="174" t="s">
        <v>92</v>
      </c>
      <c r="F4" s="174" t="s">
        <v>93</v>
      </c>
      <c r="G4" s="175" t="s">
        <v>94</v>
      </c>
    </row>
    <row r="5" spans="1:20">
      <c r="A5" s="176"/>
      <c r="B5" s="193">
        <v>1</v>
      </c>
      <c r="C5" s="177">
        <v>2</v>
      </c>
      <c r="D5" s="177">
        <v>3</v>
      </c>
      <c r="E5" s="177">
        <v>4</v>
      </c>
      <c r="F5" s="177">
        <v>5</v>
      </c>
      <c r="G5" s="178">
        <v>6</v>
      </c>
      <c r="Q5" s="196" t="s">
        <v>99</v>
      </c>
      <c r="R5" s="196" t="s">
        <v>100</v>
      </c>
      <c r="S5" s="196" t="s">
        <v>101</v>
      </c>
      <c r="T5" s="196" t="s">
        <v>102</v>
      </c>
    </row>
    <row r="6" spans="1:20" ht="18">
      <c r="A6" s="179">
        <v>1</v>
      </c>
      <c r="B6" s="180"/>
      <c r="C6" s="180"/>
      <c r="D6" s="180"/>
      <c r="E6" s="180"/>
      <c r="F6" s="181"/>
      <c r="G6" s="182"/>
      <c r="P6" s="197"/>
      <c r="Q6" s="198" t="s">
        <v>95</v>
      </c>
      <c r="R6" s="198" t="s">
        <v>103</v>
      </c>
      <c r="S6" s="198" t="s">
        <v>299</v>
      </c>
      <c r="T6" s="198" t="s">
        <v>104</v>
      </c>
    </row>
    <row r="7" spans="1:20" ht="18">
      <c r="A7" s="183">
        <v>2</v>
      </c>
      <c r="B7" s="184"/>
      <c r="C7" s="184"/>
      <c r="D7" s="184"/>
      <c r="E7" s="184"/>
      <c r="F7" s="185"/>
      <c r="G7" s="186"/>
      <c r="P7" s="197"/>
      <c r="Q7" s="198" t="s">
        <v>96</v>
      </c>
      <c r="R7" s="198" t="s">
        <v>105</v>
      </c>
      <c r="S7" s="198" t="s">
        <v>300</v>
      </c>
      <c r="T7" s="198" t="s">
        <v>106</v>
      </c>
    </row>
    <row r="8" spans="1:20" ht="15">
      <c r="A8" s="183">
        <v>3</v>
      </c>
      <c r="B8" s="184"/>
      <c r="C8" s="184"/>
      <c r="D8" s="184"/>
      <c r="E8" s="184"/>
      <c r="F8" s="185"/>
      <c r="G8" s="186"/>
      <c r="P8" s="197"/>
      <c r="Q8" s="198" t="s">
        <v>97</v>
      </c>
      <c r="R8" s="198" t="s">
        <v>107</v>
      </c>
      <c r="S8" s="199"/>
      <c r="T8" s="198" t="s">
        <v>108</v>
      </c>
    </row>
    <row r="9" spans="1:20" ht="15">
      <c r="A9" s="183">
        <v>4</v>
      </c>
      <c r="B9" s="184"/>
      <c r="C9" s="184"/>
      <c r="D9" s="184"/>
      <c r="E9" s="184"/>
      <c r="F9" s="185"/>
      <c r="G9" s="186"/>
      <c r="P9" s="197"/>
      <c r="Q9" s="198" t="s">
        <v>98</v>
      </c>
      <c r="R9" s="198" t="s">
        <v>109</v>
      </c>
      <c r="S9" s="199"/>
      <c r="T9" s="198" t="s">
        <v>110</v>
      </c>
    </row>
    <row r="10" spans="1:20" ht="15">
      <c r="A10" s="183">
        <v>5</v>
      </c>
      <c r="B10" s="184"/>
      <c r="C10" s="184"/>
      <c r="D10" s="184"/>
      <c r="E10" s="184"/>
      <c r="F10" s="185"/>
      <c r="G10" s="186"/>
      <c r="P10" s="197"/>
      <c r="Q10" s="199"/>
      <c r="R10" s="199" t="s">
        <v>111</v>
      </c>
      <c r="S10" s="199"/>
      <c r="T10" s="198" t="s">
        <v>112</v>
      </c>
    </row>
    <row r="11" spans="1:20" ht="15">
      <c r="A11" s="183">
        <v>6</v>
      </c>
      <c r="B11" s="184"/>
      <c r="C11" s="184"/>
      <c r="D11" s="184"/>
      <c r="E11" s="184"/>
      <c r="F11" s="185"/>
      <c r="G11" s="186"/>
      <c r="P11" s="197"/>
      <c r="Q11" s="199"/>
      <c r="R11" s="199" t="s">
        <v>113</v>
      </c>
      <c r="S11" s="199"/>
      <c r="T11" s="198" t="s">
        <v>114</v>
      </c>
    </row>
    <row r="12" spans="1:20" ht="15">
      <c r="A12" s="183">
        <v>7</v>
      </c>
      <c r="B12" s="184"/>
      <c r="C12" s="184"/>
      <c r="D12" s="184"/>
      <c r="E12" s="184"/>
      <c r="F12" s="185"/>
      <c r="G12" s="186"/>
      <c r="P12" s="197"/>
      <c r="Q12" s="199"/>
      <c r="R12" s="199" t="s">
        <v>115</v>
      </c>
      <c r="S12" s="199"/>
      <c r="T12" s="198" t="s">
        <v>116</v>
      </c>
    </row>
    <row r="13" spans="1:20" ht="15">
      <c r="A13" s="183">
        <v>8</v>
      </c>
      <c r="B13" s="184"/>
      <c r="C13" s="184"/>
      <c r="D13" s="184"/>
      <c r="E13" s="184"/>
      <c r="F13" s="185"/>
      <c r="G13" s="186"/>
      <c r="P13" s="197"/>
      <c r="Q13" s="199"/>
      <c r="R13" s="199" t="s">
        <v>117</v>
      </c>
      <c r="S13" s="199"/>
      <c r="T13" s="198" t="s">
        <v>118</v>
      </c>
    </row>
    <row r="14" spans="1:20" ht="15">
      <c r="A14" s="183">
        <v>9</v>
      </c>
      <c r="B14" s="184"/>
      <c r="C14" s="184"/>
      <c r="D14" s="184"/>
      <c r="E14" s="184"/>
      <c r="F14" s="185"/>
      <c r="G14" s="186"/>
      <c r="P14" s="197"/>
      <c r="Q14" s="199"/>
      <c r="R14" s="199" t="s">
        <v>119</v>
      </c>
      <c r="S14" s="199"/>
      <c r="T14" s="198" t="s">
        <v>120</v>
      </c>
    </row>
    <row r="15" spans="1:20" ht="15">
      <c r="A15" s="183">
        <v>10</v>
      </c>
      <c r="B15" s="184"/>
      <c r="C15" s="184"/>
      <c r="D15" s="184"/>
      <c r="E15" s="184"/>
      <c r="F15" s="185"/>
      <c r="G15" s="186"/>
      <c r="P15" s="197"/>
      <c r="Q15" s="199"/>
      <c r="R15" s="199" t="s">
        <v>121</v>
      </c>
      <c r="S15" s="199"/>
      <c r="T15" s="198" t="s">
        <v>122</v>
      </c>
    </row>
    <row r="16" spans="1:20" ht="15">
      <c r="A16" s="183">
        <v>11</v>
      </c>
      <c r="B16" s="184"/>
      <c r="C16" s="184"/>
      <c r="D16" s="184"/>
      <c r="E16" s="184"/>
      <c r="F16" s="185"/>
      <c r="G16" s="186"/>
      <c r="P16" s="197"/>
      <c r="Q16" s="199"/>
      <c r="R16" s="199" t="s">
        <v>123</v>
      </c>
      <c r="S16" s="199"/>
      <c r="T16" s="198" t="s">
        <v>124</v>
      </c>
    </row>
    <row r="17" spans="1:20" ht="15">
      <c r="A17" s="183">
        <v>12</v>
      </c>
      <c r="B17" s="184"/>
      <c r="C17" s="184"/>
      <c r="D17" s="184"/>
      <c r="E17" s="184"/>
      <c r="F17" s="185"/>
      <c r="G17" s="186"/>
      <c r="P17" s="197"/>
      <c r="Q17" s="199"/>
      <c r="R17" s="199" t="s">
        <v>125</v>
      </c>
      <c r="S17" s="199"/>
      <c r="T17" s="198" t="s">
        <v>126</v>
      </c>
    </row>
    <row r="18" spans="1:20" ht="15">
      <c r="A18" s="183">
        <v>13</v>
      </c>
      <c r="B18" s="184"/>
      <c r="C18" s="184"/>
      <c r="D18" s="184"/>
      <c r="E18" s="184"/>
      <c r="F18" s="185"/>
      <c r="G18" s="186"/>
      <c r="P18" s="197"/>
      <c r="Q18" s="199"/>
      <c r="R18" s="199" t="s">
        <v>127</v>
      </c>
      <c r="S18" s="199"/>
      <c r="T18" s="198" t="s">
        <v>128</v>
      </c>
    </row>
    <row r="19" spans="1:20" ht="15">
      <c r="A19" s="183">
        <v>14</v>
      </c>
      <c r="B19" s="184"/>
      <c r="C19" s="184"/>
      <c r="D19" s="184"/>
      <c r="E19" s="184"/>
      <c r="F19" s="185"/>
      <c r="G19" s="186"/>
      <c r="P19" s="197"/>
      <c r="Q19" s="199"/>
      <c r="R19" s="199" t="s">
        <v>129</v>
      </c>
      <c r="S19" s="199"/>
      <c r="T19" s="198" t="s">
        <v>130</v>
      </c>
    </row>
    <row r="20" spans="1:20" ht="15">
      <c r="A20" s="183">
        <v>15</v>
      </c>
      <c r="B20" s="184"/>
      <c r="C20" s="184"/>
      <c r="D20" s="184"/>
      <c r="E20" s="184"/>
      <c r="F20" s="185"/>
      <c r="G20" s="186"/>
      <c r="P20" s="197"/>
      <c r="Q20" s="199"/>
      <c r="R20" s="199" t="s">
        <v>131</v>
      </c>
      <c r="S20" s="199"/>
      <c r="T20" s="198" t="s">
        <v>132</v>
      </c>
    </row>
    <row r="21" spans="1:20" ht="15">
      <c r="A21" s="183">
        <v>16</v>
      </c>
      <c r="B21" s="184"/>
      <c r="C21" s="184"/>
      <c r="D21" s="184"/>
      <c r="E21" s="184"/>
      <c r="F21" s="185"/>
      <c r="G21" s="186"/>
      <c r="P21" s="197"/>
      <c r="Q21" s="199"/>
      <c r="R21" s="199" t="s">
        <v>133</v>
      </c>
      <c r="S21" s="199"/>
      <c r="T21" s="198" t="s">
        <v>134</v>
      </c>
    </row>
    <row r="22" spans="1:20" ht="15">
      <c r="A22" s="183">
        <v>17</v>
      </c>
      <c r="B22" s="184"/>
      <c r="C22" s="184"/>
      <c r="D22" s="184"/>
      <c r="E22" s="184"/>
      <c r="F22" s="185"/>
      <c r="G22" s="186"/>
      <c r="P22" s="197"/>
      <c r="Q22" s="199"/>
      <c r="R22" s="199" t="s">
        <v>135</v>
      </c>
      <c r="S22" s="199"/>
      <c r="T22" s="198" t="s">
        <v>136</v>
      </c>
    </row>
    <row r="23" spans="1:20">
      <c r="A23" s="183">
        <v>18</v>
      </c>
      <c r="B23" s="184"/>
      <c r="C23" s="184"/>
      <c r="D23" s="184"/>
      <c r="E23" s="184"/>
      <c r="F23" s="185"/>
      <c r="G23" s="186"/>
      <c r="P23" s="197"/>
      <c r="Q23" s="199"/>
      <c r="R23" s="199" t="s">
        <v>137</v>
      </c>
      <c r="S23" s="199"/>
      <c r="T23" s="199"/>
    </row>
    <row r="24" spans="1:20">
      <c r="A24" s="183">
        <v>19</v>
      </c>
      <c r="B24" s="184"/>
      <c r="C24" s="184"/>
      <c r="D24" s="184"/>
      <c r="E24" s="184"/>
      <c r="F24" s="185"/>
      <c r="G24" s="186"/>
      <c r="P24" s="197"/>
      <c r="Q24" s="199"/>
      <c r="R24" s="199" t="s">
        <v>138</v>
      </c>
      <c r="S24" s="199"/>
      <c r="T24" s="199"/>
    </row>
    <row r="25" spans="1:20">
      <c r="A25" s="183">
        <v>20</v>
      </c>
      <c r="B25" s="184"/>
      <c r="C25" s="184"/>
      <c r="D25" s="184"/>
      <c r="E25" s="184"/>
      <c r="F25" s="185"/>
      <c r="G25" s="186"/>
      <c r="P25" s="197"/>
      <c r="Q25" s="199"/>
      <c r="R25" s="199" t="s">
        <v>139</v>
      </c>
      <c r="S25" s="199"/>
      <c r="T25" s="199"/>
    </row>
    <row r="26" spans="1:20">
      <c r="A26" s="183">
        <v>21</v>
      </c>
      <c r="B26" s="184"/>
      <c r="C26" s="184"/>
      <c r="D26" s="184"/>
      <c r="E26" s="184"/>
      <c r="F26" s="185"/>
      <c r="G26" s="186"/>
      <c r="R26" s="195" t="s">
        <v>140</v>
      </c>
    </row>
    <row r="27" spans="1:20">
      <c r="A27" s="183">
        <v>22</v>
      </c>
      <c r="B27" s="184"/>
      <c r="C27" s="184"/>
      <c r="D27" s="184"/>
      <c r="E27" s="184"/>
      <c r="F27" s="185"/>
      <c r="G27" s="186"/>
      <c r="R27" s="195" t="s">
        <v>141</v>
      </c>
    </row>
    <row r="28" spans="1:20">
      <c r="A28" s="183">
        <v>23</v>
      </c>
      <c r="B28" s="184"/>
      <c r="C28" s="184"/>
      <c r="D28" s="184"/>
      <c r="E28" s="184"/>
      <c r="F28" s="185"/>
      <c r="G28" s="186"/>
      <c r="R28" s="195" t="s">
        <v>142</v>
      </c>
    </row>
    <row r="29" spans="1:20">
      <c r="A29" s="183">
        <v>24</v>
      </c>
      <c r="B29" s="184"/>
      <c r="C29" s="184"/>
      <c r="D29" s="184"/>
      <c r="E29" s="184"/>
      <c r="F29" s="185"/>
      <c r="G29" s="186"/>
      <c r="R29" s="195" t="s">
        <v>143</v>
      </c>
    </row>
    <row r="30" spans="1:20">
      <c r="A30" s="183">
        <v>25</v>
      </c>
      <c r="B30" s="184"/>
      <c r="C30" s="184"/>
      <c r="D30" s="184"/>
      <c r="E30" s="184"/>
      <c r="F30" s="185"/>
      <c r="G30" s="186"/>
      <c r="R30" s="195" t="s">
        <v>144</v>
      </c>
    </row>
    <row r="31" spans="1:20">
      <c r="A31" s="183">
        <v>26</v>
      </c>
      <c r="B31" s="184"/>
      <c r="C31" s="184"/>
      <c r="D31" s="184"/>
      <c r="E31" s="184"/>
      <c r="F31" s="185"/>
      <c r="G31" s="186"/>
      <c r="R31" s="195" t="s">
        <v>145</v>
      </c>
    </row>
    <row r="32" spans="1:20">
      <c r="A32" s="183">
        <v>27</v>
      </c>
      <c r="B32" s="184"/>
      <c r="C32" s="184"/>
      <c r="D32" s="184"/>
      <c r="E32" s="184"/>
      <c r="F32" s="185"/>
      <c r="G32" s="186"/>
      <c r="R32" s="195" t="s">
        <v>146</v>
      </c>
    </row>
    <row r="33" spans="1:18">
      <c r="A33" s="183">
        <v>28</v>
      </c>
      <c r="B33" s="184"/>
      <c r="C33" s="184"/>
      <c r="D33" s="184"/>
      <c r="E33" s="184"/>
      <c r="F33" s="185"/>
      <c r="G33" s="186"/>
      <c r="R33" s="195" t="s">
        <v>147</v>
      </c>
    </row>
    <row r="34" spans="1:18">
      <c r="A34" s="183">
        <v>29</v>
      </c>
      <c r="B34" s="184"/>
      <c r="C34" s="184"/>
      <c r="D34" s="184"/>
      <c r="E34" s="184"/>
      <c r="F34" s="185"/>
      <c r="G34" s="186"/>
      <c r="R34" s="195" t="s">
        <v>148</v>
      </c>
    </row>
    <row r="35" spans="1:18">
      <c r="A35" s="183">
        <v>30</v>
      </c>
      <c r="B35" s="184"/>
      <c r="C35" s="184"/>
      <c r="D35" s="184"/>
      <c r="E35" s="184"/>
      <c r="F35" s="185"/>
      <c r="G35" s="186"/>
      <c r="R35" s="195" t="s">
        <v>149</v>
      </c>
    </row>
    <row r="36" spans="1:18">
      <c r="A36" s="183">
        <v>31</v>
      </c>
      <c r="B36" s="184"/>
      <c r="C36" s="184"/>
      <c r="D36" s="184"/>
      <c r="E36" s="184"/>
      <c r="F36" s="185"/>
      <c r="G36" s="186"/>
      <c r="R36" s="195" t="s">
        <v>150</v>
      </c>
    </row>
    <row r="37" spans="1:18">
      <c r="A37" s="183">
        <v>32</v>
      </c>
      <c r="B37" s="184"/>
      <c r="C37" s="184"/>
      <c r="D37" s="184"/>
      <c r="E37" s="184"/>
      <c r="F37" s="185"/>
      <c r="G37" s="186"/>
      <c r="R37" s="195" t="s">
        <v>151</v>
      </c>
    </row>
    <row r="38" spans="1:18">
      <c r="A38" s="183">
        <v>33</v>
      </c>
      <c r="B38" s="184"/>
      <c r="C38" s="184"/>
      <c r="D38" s="184"/>
      <c r="E38" s="184"/>
      <c r="F38" s="185"/>
      <c r="G38" s="186"/>
      <c r="R38" s="195" t="s">
        <v>152</v>
      </c>
    </row>
    <row r="39" spans="1:18">
      <c r="A39" s="183">
        <v>34</v>
      </c>
      <c r="B39" s="184"/>
      <c r="C39" s="184"/>
      <c r="D39" s="184"/>
      <c r="E39" s="184"/>
      <c r="F39" s="185"/>
      <c r="G39" s="186"/>
      <c r="R39" s="195" t="s">
        <v>153</v>
      </c>
    </row>
    <row r="40" spans="1:18">
      <c r="A40" s="183">
        <v>35</v>
      </c>
      <c r="B40" s="184"/>
      <c r="C40" s="184"/>
      <c r="D40" s="184"/>
      <c r="E40" s="184"/>
      <c r="F40" s="185"/>
      <c r="G40" s="186"/>
      <c r="R40" s="195" t="s">
        <v>154</v>
      </c>
    </row>
    <row r="41" spans="1:18">
      <c r="A41" s="183">
        <v>36</v>
      </c>
      <c r="B41" s="184"/>
      <c r="C41" s="184"/>
      <c r="D41" s="184"/>
      <c r="E41" s="184"/>
      <c r="F41" s="185"/>
      <c r="G41" s="186"/>
      <c r="R41" s="195" t="s">
        <v>155</v>
      </c>
    </row>
    <row r="42" spans="1:18">
      <c r="A42" s="183">
        <v>37</v>
      </c>
      <c r="B42" s="184"/>
      <c r="C42" s="184"/>
      <c r="D42" s="184"/>
      <c r="E42" s="184"/>
      <c r="F42" s="185"/>
      <c r="G42" s="186"/>
      <c r="R42" s="195" t="s">
        <v>156</v>
      </c>
    </row>
    <row r="43" spans="1:18">
      <c r="A43" s="183">
        <v>38</v>
      </c>
      <c r="B43" s="184"/>
      <c r="C43" s="184"/>
      <c r="D43" s="184"/>
      <c r="E43" s="184"/>
      <c r="F43" s="185"/>
      <c r="G43" s="186"/>
      <c r="R43" s="195" t="s">
        <v>157</v>
      </c>
    </row>
    <row r="44" spans="1:18">
      <c r="A44" s="183">
        <v>39</v>
      </c>
      <c r="B44" s="184"/>
      <c r="C44" s="184"/>
      <c r="D44" s="184"/>
      <c r="E44" s="184"/>
      <c r="F44" s="185"/>
      <c r="G44" s="186"/>
      <c r="R44" s="195" t="s">
        <v>158</v>
      </c>
    </row>
    <row r="45" spans="1:18">
      <c r="A45" s="183">
        <v>40</v>
      </c>
      <c r="B45" s="184"/>
      <c r="C45" s="184"/>
      <c r="D45" s="184"/>
      <c r="E45" s="184"/>
      <c r="F45" s="185"/>
      <c r="G45" s="186"/>
      <c r="R45" s="195" t="s">
        <v>159</v>
      </c>
    </row>
    <row r="46" spans="1:18">
      <c r="A46" s="183">
        <v>41</v>
      </c>
      <c r="B46" s="184"/>
      <c r="C46" s="184"/>
      <c r="D46" s="184"/>
      <c r="E46" s="184"/>
      <c r="F46" s="185"/>
      <c r="G46" s="186"/>
      <c r="R46" s="195" t="s">
        <v>160</v>
      </c>
    </row>
    <row r="47" spans="1:18">
      <c r="A47" s="183">
        <v>42</v>
      </c>
      <c r="B47" s="184"/>
      <c r="C47" s="184"/>
      <c r="D47" s="184"/>
      <c r="E47" s="184"/>
      <c r="F47" s="185"/>
      <c r="G47" s="186"/>
      <c r="R47" s="195" t="s">
        <v>161</v>
      </c>
    </row>
    <row r="48" spans="1:18">
      <c r="A48" s="183">
        <v>43</v>
      </c>
      <c r="B48" s="184"/>
      <c r="C48" s="184"/>
      <c r="D48" s="184"/>
      <c r="E48" s="184"/>
      <c r="F48" s="185"/>
      <c r="G48" s="186"/>
      <c r="R48" s="195" t="s">
        <v>162</v>
      </c>
    </row>
    <row r="49" spans="1:18">
      <c r="A49" s="183">
        <v>44</v>
      </c>
      <c r="B49" s="184"/>
      <c r="C49" s="184"/>
      <c r="D49" s="184"/>
      <c r="E49" s="184"/>
      <c r="F49" s="185"/>
      <c r="G49" s="186"/>
      <c r="R49" s="195" t="s">
        <v>163</v>
      </c>
    </row>
    <row r="50" spans="1:18">
      <c r="A50" s="183">
        <v>45</v>
      </c>
      <c r="B50" s="184"/>
      <c r="C50" s="184"/>
      <c r="D50" s="184"/>
      <c r="E50" s="184"/>
      <c r="F50" s="185"/>
      <c r="G50" s="186"/>
      <c r="R50" s="195" t="s">
        <v>164</v>
      </c>
    </row>
    <row r="51" spans="1:18">
      <c r="A51" s="183">
        <v>46</v>
      </c>
      <c r="B51" s="184"/>
      <c r="C51" s="184"/>
      <c r="D51" s="184"/>
      <c r="E51" s="184"/>
      <c r="F51" s="185"/>
      <c r="G51" s="186"/>
      <c r="R51" s="195" t="s">
        <v>165</v>
      </c>
    </row>
    <row r="52" spans="1:18">
      <c r="A52" s="183">
        <v>47</v>
      </c>
      <c r="B52" s="184"/>
      <c r="C52" s="184"/>
      <c r="D52" s="184"/>
      <c r="E52" s="184"/>
      <c r="F52" s="185"/>
      <c r="G52" s="186"/>
      <c r="R52" s="195" t="s">
        <v>166</v>
      </c>
    </row>
    <row r="53" spans="1:18">
      <c r="A53" s="183">
        <v>48</v>
      </c>
      <c r="B53" s="184"/>
      <c r="C53" s="184"/>
      <c r="D53" s="184"/>
      <c r="E53" s="184"/>
      <c r="F53" s="185"/>
      <c r="G53" s="186"/>
      <c r="R53" s="195" t="s">
        <v>167</v>
      </c>
    </row>
    <row r="54" spans="1:18">
      <c r="A54" s="183">
        <v>49</v>
      </c>
      <c r="B54" s="184"/>
      <c r="C54" s="184"/>
      <c r="D54" s="184"/>
      <c r="E54" s="184"/>
      <c r="F54" s="185"/>
      <c r="G54" s="186"/>
      <c r="R54" s="195" t="s">
        <v>168</v>
      </c>
    </row>
    <row r="55" spans="1:18">
      <c r="A55" s="183">
        <v>50</v>
      </c>
      <c r="B55" s="184"/>
      <c r="C55" s="184"/>
      <c r="D55" s="184"/>
      <c r="E55" s="184"/>
      <c r="F55" s="185"/>
      <c r="G55" s="186"/>
      <c r="R55" s="195" t="s">
        <v>169</v>
      </c>
    </row>
    <row r="56" spans="1:18">
      <c r="A56" s="183">
        <v>51</v>
      </c>
      <c r="B56" s="184"/>
      <c r="C56" s="184"/>
      <c r="D56" s="184"/>
      <c r="E56" s="184"/>
      <c r="F56" s="185"/>
      <c r="G56" s="186"/>
      <c r="R56" s="195" t="s">
        <v>170</v>
      </c>
    </row>
    <row r="57" spans="1:18">
      <c r="A57" s="183">
        <v>52</v>
      </c>
      <c r="B57" s="184"/>
      <c r="C57" s="184"/>
      <c r="D57" s="184"/>
      <c r="E57" s="184"/>
      <c r="F57" s="185"/>
      <c r="G57" s="186"/>
      <c r="R57" s="195" t="s">
        <v>171</v>
      </c>
    </row>
    <row r="58" spans="1:18">
      <c r="A58" s="183">
        <v>53</v>
      </c>
      <c r="B58" s="184"/>
      <c r="C58" s="184"/>
      <c r="D58" s="184"/>
      <c r="E58" s="184"/>
      <c r="F58" s="185"/>
      <c r="G58" s="186"/>
      <c r="R58" s="195" t="s">
        <v>172</v>
      </c>
    </row>
    <row r="59" spans="1:18">
      <c r="A59" s="183">
        <v>54</v>
      </c>
      <c r="B59" s="184"/>
      <c r="C59" s="184"/>
      <c r="D59" s="184"/>
      <c r="E59" s="184"/>
      <c r="F59" s="185"/>
      <c r="G59" s="186"/>
      <c r="R59" s="195" t="s">
        <v>173</v>
      </c>
    </row>
    <row r="60" spans="1:18">
      <c r="A60" s="183">
        <v>55</v>
      </c>
      <c r="B60" s="184"/>
      <c r="C60" s="184"/>
      <c r="D60" s="184"/>
      <c r="E60" s="184"/>
      <c r="F60" s="185"/>
      <c r="G60" s="186"/>
      <c r="R60" s="195" t="s">
        <v>174</v>
      </c>
    </row>
    <row r="61" spans="1:18">
      <c r="A61" s="183">
        <v>56</v>
      </c>
      <c r="B61" s="184"/>
      <c r="C61" s="184"/>
      <c r="D61" s="184"/>
      <c r="E61" s="184"/>
      <c r="F61" s="185"/>
      <c r="G61" s="186"/>
      <c r="R61" s="195" t="s">
        <v>175</v>
      </c>
    </row>
    <row r="62" spans="1:18">
      <c r="A62" s="183">
        <v>57</v>
      </c>
      <c r="B62" s="184"/>
      <c r="C62" s="184"/>
      <c r="D62" s="184"/>
      <c r="E62" s="184"/>
      <c r="F62" s="185"/>
      <c r="G62" s="186"/>
      <c r="R62" s="195" t="s">
        <v>176</v>
      </c>
    </row>
    <row r="63" spans="1:18">
      <c r="A63" s="183">
        <v>58</v>
      </c>
      <c r="B63" s="184"/>
      <c r="C63" s="184"/>
      <c r="D63" s="184"/>
      <c r="E63" s="184"/>
      <c r="F63" s="185"/>
      <c r="G63" s="186"/>
      <c r="R63" s="195" t="s">
        <v>177</v>
      </c>
    </row>
    <row r="64" spans="1:18">
      <c r="A64" s="183">
        <v>59</v>
      </c>
      <c r="B64" s="184"/>
      <c r="C64" s="184"/>
      <c r="D64" s="184"/>
      <c r="E64" s="184"/>
      <c r="F64" s="185"/>
      <c r="G64" s="186"/>
      <c r="R64" s="195" t="s">
        <v>178</v>
      </c>
    </row>
    <row r="65" spans="1:18">
      <c r="A65" s="183">
        <v>60</v>
      </c>
      <c r="B65" s="184"/>
      <c r="C65" s="184"/>
      <c r="D65" s="184"/>
      <c r="E65" s="184"/>
      <c r="F65" s="185"/>
      <c r="G65" s="186"/>
      <c r="R65" s="195" t="s">
        <v>179</v>
      </c>
    </row>
    <row r="66" spans="1:18">
      <c r="A66" s="183">
        <v>61</v>
      </c>
      <c r="B66" s="184"/>
      <c r="C66" s="184"/>
      <c r="D66" s="184"/>
      <c r="E66" s="184"/>
      <c r="F66" s="185"/>
      <c r="G66" s="186"/>
      <c r="R66" s="195" t="s">
        <v>180</v>
      </c>
    </row>
    <row r="67" spans="1:18">
      <c r="A67" s="183">
        <v>62</v>
      </c>
      <c r="B67" s="184"/>
      <c r="C67" s="184"/>
      <c r="D67" s="184"/>
      <c r="E67" s="184"/>
      <c r="F67" s="185"/>
      <c r="G67" s="186"/>
      <c r="R67" s="195" t="s">
        <v>181</v>
      </c>
    </row>
    <row r="68" spans="1:18">
      <c r="A68" s="183">
        <v>63</v>
      </c>
      <c r="B68" s="184"/>
      <c r="C68" s="184"/>
      <c r="D68" s="184"/>
      <c r="E68" s="184"/>
      <c r="F68" s="185"/>
      <c r="G68" s="186"/>
      <c r="R68" s="195" t="s">
        <v>182</v>
      </c>
    </row>
    <row r="69" spans="1:18">
      <c r="A69" s="183">
        <v>64</v>
      </c>
      <c r="B69" s="184"/>
      <c r="C69" s="184"/>
      <c r="D69" s="184"/>
      <c r="E69" s="184"/>
      <c r="F69" s="185"/>
      <c r="G69" s="186"/>
      <c r="R69" s="195" t="s">
        <v>183</v>
      </c>
    </row>
    <row r="70" spans="1:18">
      <c r="A70" s="183">
        <v>65</v>
      </c>
      <c r="B70" s="184"/>
      <c r="C70" s="184"/>
      <c r="D70" s="184"/>
      <c r="E70" s="184"/>
      <c r="F70" s="185"/>
      <c r="G70" s="186"/>
      <c r="R70" s="195" t="s">
        <v>184</v>
      </c>
    </row>
    <row r="71" spans="1:18">
      <c r="A71" s="183">
        <v>66</v>
      </c>
      <c r="B71" s="184"/>
      <c r="C71" s="184"/>
      <c r="D71" s="184"/>
      <c r="E71" s="184"/>
      <c r="F71" s="185"/>
      <c r="G71" s="186"/>
      <c r="R71" s="195" t="s">
        <v>185</v>
      </c>
    </row>
    <row r="72" spans="1:18">
      <c r="A72" s="183">
        <v>67</v>
      </c>
      <c r="B72" s="184"/>
      <c r="C72" s="184"/>
      <c r="D72" s="184"/>
      <c r="E72" s="184"/>
      <c r="F72" s="185"/>
      <c r="G72" s="186"/>
      <c r="R72" s="195" t="s">
        <v>186</v>
      </c>
    </row>
    <row r="73" spans="1:18">
      <c r="A73" s="183">
        <v>68</v>
      </c>
      <c r="B73" s="184"/>
      <c r="C73" s="184"/>
      <c r="D73" s="184"/>
      <c r="E73" s="184"/>
      <c r="F73" s="185"/>
      <c r="G73" s="186"/>
      <c r="R73" s="195" t="s">
        <v>187</v>
      </c>
    </row>
    <row r="74" spans="1:18">
      <c r="A74" s="183">
        <v>69</v>
      </c>
      <c r="B74" s="184"/>
      <c r="C74" s="184"/>
      <c r="D74" s="184"/>
      <c r="E74" s="184"/>
      <c r="F74" s="185"/>
      <c r="G74" s="186"/>
      <c r="R74" s="195" t="s">
        <v>188</v>
      </c>
    </row>
    <row r="75" spans="1:18">
      <c r="A75" s="183">
        <v>70</v>
      </c>
      <c r="B75" s="184"/>
      <c r="C75" s="184"/>
      <c r="D75" s="184"/>
      <c r="E75" s="184"/>
      <c r="F75" s="185"/>
      <c r="G75" s="186"/>
      <c r="R75" s="195" t="s">
        <v>189</v>
      </c>
    </row>
    <row r="76" spans="1:18">
      <c r="A76" s="183">
        <v>71</v>
      </c>
      <c r="B76" s="184"/>
      <c r="C76" s="184"/>
      <c r="D76" s="184"/>
      <c r="E76" s="184"/>
      <c r="F76" s="185"/>
      <c r="G76" s="186"/>
      <c r="R76" s="195" t="s">
        <v>190</v>
      </c>
    </row>
    <row r="77" spans="1:18">
      <c r="A77" s="183">
        <v>72</v>
      </c>
      <c r="B77" s="184"/>
      <c r="C77" s="184"/>
      <c r="D77" s="184"/>
      <c r="E77" s="184"/>
      <c r="F77" s="185"/>
      <c r="G77" s="186"/>
      <c r="R77" s="195" t="s">
        <v>191</v>
      </c>
    </row>
    <row r="78" spans="1:18">
      <c r="A78" s="183">
        <v>73</v>
      </c>
      <c r="B78" s="184"/>
      <c r="C78" s="184"/>
      <c r="D78" s="184"/>
      <c r="E78" s="184"/>
      <c r="F78" s="185"/>
      <c r="G78" s="186"/>
      <c r="R78" s="195" t="s">
        <v>192</v>
      </c>
    </row>
    <row r="79" spans="1:18">
      <c r="A79" s="183">
        <v>74</v>
      </c>
      <c r="B79" s="184"/>
      <c r="C79" s="184"/>
      <c r="D79" s="184"/>
      <c r="E79" s="184"/>
      <c r="F79" s="185"/>
      <c r="G79" s="186"/>
      <c r="R79" s="195" t="s">
        <v>193</v>
      </c>
    </row>
    <row r="80" spans="1:18">
      <c r="A80" s="183">
        <v>75</v>
      </c>
      <c r="B80" s="184"/>
      <c r="C80" s="184"/>
      <c r="D80" s="184"/>
      <c r="E80" s="184"/>
      <c r="F80" s="185"/>
      <c r="G80" s="186"/>
      <c r="R80" s="195" t="s">
        <v>194</v>
      </c>
    </row>
    <row r="81" spans="1:18">
      <c r="A81" s="183">
        <v>76</v>
      </c>
      <c r="B81" s="184"/>
      <c r="C81" s="184"/>
      <c r="D81" s="184"/>
      <c r="E81" s="184"/>
      <c r="F81" s="185"/>
      <c r="G81" s="186"/>
      <c r="R81" s="195" t="s">
        <v>195</v>
      </c>
    </row>
    <row r="82" spans="1:18">
      <c r="A82" s="183">
        <v>77</v>
      </c>
      <c r="B82" s="184"/>
      <c r="C82" s="184"/>
      <c r="D82" s="184"/>
      <c r="E82" s="184"/>
      <c r="F82" s="185"/>
      <c r="G82" s="186"/>
      <c r="R82" s="195" t="s">
        <v>196</v>
      </c>
    </row>
    <row r="83" spans="1:18">
      <c r="A83" s="183">
        <v>78</v>
      </c>
      <c r="B83" s="184"/>
      <c r="C83" s="184"/>
      <c r="D83" s="184"/>
      <c r="E83" s="184"/>
      <c r="F83" s="185"/>
      <c r="G83" s="186"/>
      <c r="R83" s="195" t="s">
        <v>197</v>
      </c>
    </row>
    <row r="84" spans="1:18">
      <c r="A84" s="183">
        <v>79</v>
      </c>
      <c r="B84" s="184"/>
      <c r="C84" s="184"/>
      <c r="D84" s="184"/>
      <c r="E84" s="184"/>
      <c r="F84" s="185"/>
      <c r="G84" s="186"/>
      <c r="R84" s="195" t="s">
        <v>198</v>
      </c>
    </row>
    <row r="85" spans="1:18">
      <c r="A85" s="183">
        <v>80</v>
      </c>
      <c r="B85" s="184"/>
      <c r="C85" s="184"/>
      <c r="D85" s="184"/>
      <c r="E85" s="184"/>
      <c r="F85" s="185"/>
      <c r="G85" s="186"/>
      <c r="R85" s="195" t="s">
        <v>199</v>
      </c>
    </row>
    <row r="86" spans="1:18">
      <c r="A86" s="183">
        <v>81</v>
      </c>
      <c r="B86" s="184"/>
      <c r="C86" s="184"/>
      <c r="D86" s="184"/>
      <c r="E86" s="184"/>
      <c r="F86" s="185"/>
      <c r="G86" s="186"/>
      <c r="R86" s="195" t="s">
        <v>200</v>
      </c>
    </row>
    <row r="87" spans="1:18">
      <c r="A87" s="183">
        <v>82</v>
      </c>
      <c r="B87" s="184"/>
      <c r="C87" s="184"/>
      <c r="D87" s="184"/>
      <c r="E87" s="184"/>
      <c r="F87" s="185"/>
      <c r="G87" s="186"/>
      <c r="R87" s="195" t="s">
        <v>201</v>
      </c>
    </row>
    <row r="88" spans="1:18">
      <c r="A88" s="183">
        <v>83</v>
      </c>
      <c r="B88" s="184"/>
      <c r="C88" s="184"/>
      <c r="D88" s="184"/>
      <c r="E88" s="184"/>
      <c r="F88" s="185"/>
      <c r="G88" s="186"/>
      <c r="R88" s="195" t="s">
        <v>202</v>
      </c>
    </row>
    <row r="89" spans="1:18">
      <c r="A89" s="183">
        <v>84</v>
      </c>
      <c r="B89" s="184"/>
      <c r="C89" s="184"/>
      <c r="D89" s="184"/>
      <c r="E89" s="184"/>
      <c r="F89" s="185"/>
      <c r="G89" s="186"/>
      <c r="R89" s="195" t="s">
        <v>203</v>
      </c>
    </row>
    <row r="90" spans="1:18">
      <c r="A90" s="183">
        <v>85</v>
      </c>
      <c r="B90" s="184"/>
      <c r="C90" s="184"/>
      <c r="D90" s="184"/>
      <c r="E90" s="184"/>
      <c r="F90" s="185"/>
      <c r="G90" s="186"/>
      <c r="R90" s="195" t="s">
        <v>204</v>
      </c>
    </row>
    <row r="91" spans="1:18">
      <c r="A91" s="183">
        <v>86</v>
      </c>
      <c r="B91" s="184"/>
      <c r="C91" s="184"/>
      <c r="D91" s="184"/>
      <c r="E91" s="184"/>
      <c r="F91" s="185"/>
      <c r="G91" s="186"/>
      <c r="R91" s="195" t="s">
        <v>205</v>
      </c>
    </row>
    <row r="92" spans="1:18">
      <c r="A92" s="183">
        <v>87</v>
      </c>
      <c r="B92" s="184"/>
      <c r="C92" s="184"/>
      <c r="D92" s="184"/>
      <c r="E92" s="184"/>
      <c r="F92" s="185"/>
      <c r="G92" s="186"/>
      <c r="R92" s="195" t="s">
        <v>206</v>
      </c>
    </row>
    <row r="93" spans="1:18">
      <c r="A93" s="183">
        <v>88</v>
      </c>
      <c r="B93" s="184"/>
      <c r="C93" s="184"/>
      <c r="D93" s="184"/>
      <c r="E93" s="184"/>
      <c r="F93" s="185"/>
      <c r="G93" s="186"/>
      <c r="R93" s="195" t="s">
        <v>207</v>
      </c>
    </row>
    <row r="94" spans="1:18">
      <c r="A94" s="183">
        <v>89</v>
      </c>
      <c r="B94" s="184"/>
      <c r="C94" s="184"/>
      <c r="D94" s="184"/>
      <c r="E94" s="184"/>
      <c r="F94" s="185"/>
      <c r="G94" s="186"/>
      <c r="R94" s="195" t="s">
        <v>208</v>
      </c>
    </row>
    <row r="95" spans="1:18">
      <c r="A95" s="183">
        <v>90</v>
      </c>
      <c r="B95" s="184"/>
      <c r="C95" s="184"/>
      <c r="D95" s="184"/>
      <c r="E95" s="184"/>
      <c r="F95" s="185"/>
      <c r="G95" s="186"/>
      <c r="R95" s="195" t="s">
        <v>209</v>
      </c>
    </row>
    <row r="96" spans="1:18">
      <c r="A96" s="183">
        <v>91</v>
      </c>
      <c r="B96" s="184"/>
      <c r="C96" s="184"/>
      <c r="D96" s="184"/>
      <c r="E96" s="184"/>
      <c r="F96" s="185"/>
      <c r="G96" s="186"/>
      <c r="R96" s="195" t="s">
        <v>210</v>
      </c>
    </row>
    <row r="97" spans="1:18">
      <c r="A97" s="183">
        <v>92</v>
      </c>
      <c r="B97" s="184"/>
      <c r="C97" s="184"/>
      <c r="D97" s="184"/>
      <c r="E97" s="184"/>
      <c r="F97" s="185"/>
      <c r="G97" s="186"/>
      <c r="R97" s="195" t="s">
        <v>211</v>
      </c>
    </row>
    <row r="98" spans="1:18">
      <c r="A98" s="183">
        <v>93</v>
      </c>
      <c r="B98" s="184"/>
      <c r="C98" s="184"/>
      <c r="D98" s="184"/>
      <c r="E98" s="184"/>
      <c r="F98" s="185"/>
      <c r="G98" s="186"/>
      <c r="R98" s="195" t="s">
        <v>212</v>
      </c>
    </row>
    <row r="99" spans="1:18">
      <c r="A99" s="183">
        <v>94</v>
      </c>
      <c r="B99" s="184"/>
      <c r="C99" s="184"/>
      <c r="D99" s="184"/>
      <c r="E99" s="184"/>
      <c r="F99" s="185"/>
      <c r="G99" s="186"/>
      <c r="R99" s="195" t="s">
        <v>213</v>
      </c>
    </row>
    <row r="100" spans="1:18">
      <c r="A100" s="183">
        <v>95</v>
      </c>
      <c r="B100" s="184"/>
      <c r="C100" s="184"/>
      <c r="D100" s="184"/>
      <c r="E100" s="184"/>
      <c r="F100" s="185"/>
      <c r="G100" s="186"/>
      <c r="R100" s="195" t="s">
        <v>214</v>
      </c>
    </row>
    <row r="101" spans="1:18">
      <c r="A101" s="183">
        <v>96</v>
      </c>
      <c r="B101" s="184"/>
      <c r="C101" s="184"/>
      <c r="D101" s="184"/>
      <c r="E101" s="184"/>
      <c r="F101" s="185"/>
      <c r="G101" s="186"/>
      <c r="R101" s="195" t="s">
        <v>215</v>
      </c>
    </row>
    <row r="102" spans="1:18">
      <c r="A102" s="183">
        <v>97</v>
      </c>
      <c r="B102" s="184"/>
      <c r="C102" s="184"/>
      <c r="D102" s="184"/>
      <c r="E102" s="184"/>
      <c r="F102" s="185"/>
      <c r="G102" s="186"/>
      <c r="R102" s="195" t="s">
        <v>216</v>
      </c>
    </row>
    <row r="103" spans="1:18">
      <c r="A103" s="183">
        <v>98</v>
      </c>
      <c r="B103" s="184"/>
      <c r="C103" s="184"/>
      <c r="D103" s="184"/>
      <c r="E103" s="184"/>
      <c r="F103" s="185"/>
      <c r="G103" s="186"/>
      <c r="R103" s="195" t="s">
        <v>217</v>
      </c>
    </row>
    <row r="104" spans="1:18">
      <c r="A104" s="183">
        <v>99</v>
      </c>
      <c r="B104" s="184"/>
      <c r="C104" s="184"/>
      <c r="D104" s="184"/>
      <c r="E104" s="184"/>
      <c r="F104" s="185"/>
      <c r="G104" s="186"/>
      <c r="R104" s="195" t="s">
        <v>218</v>
      </c>
    </row>
    <row r="105" spans="1:18">
      <c r="A105" s="187">
        <v>100</v>
      </c>
      <c r="B105" s="188"/>
      <c r="C105" s="188"/>
      <c r="D105" s="188"/>
      <c r="E105" s="188"/>
      <c r="F105" s="189"/>
      <c r="G105" s="190"/>
      <c r="R105" s="195" t="s">
        <v>219</v>
      </c>
    </row>
    <row r="106" spans="1:18">
      <c r="R106" s="195" t="s">
        <v>220</v>
      </c>
    </row>
    <row r="107" spans="1:18">
      <c r="R107" s="195" t="s">
        <v>221</v>
      </c>
    </row>
    <row r="108" spans="1:18">
      <c r="R108" s="195" t="s">
        <v>222</v>
      </c>
    </row>
    <row r="109" spans="1:18">
      <c r="R109" s="195" t="s">
        <v>223</v>
      </c>
    </row>
    <row r="110" spans="1:18">
      <c r="R110" s="195" t="s">
        <v>224</v>
      </c>
    </row>
    <row r="111" spans="1:18">
      <c r="R111" s="195" t="s">
        <v>225</v>
      </c>
    </row>
    <row r="112" spans="1:18">
      <c r="R112" s="195" t="s">
        <v>226</v>
      </c>
    </row>
    <row r="113" spans="18:18">
      <c r="R113" s="195" t="s">
        <v>227</v>
      </c>
    </row>
    <row r="114" spans="18:18">
      <c r="R114" s="195" t="s">
        <v>228</v>
      </c>
    </row>
    <row r="115" spans="18:18">
      <c r="R115" s="195" t="s">
        <v>229</v>
      </c>
    </row>
    <row r="116" spans="18:18">
      <c r="R116" s="195" t="s">
        <v>230</v>
      </c>
    </row>
    <row r="117" spans="18:18">
      <c r="R117" s="195" t="s">
        <v>231</v>
      </c>
    </row>
    <row r="118" spans="18:18">
      <c r="R118" s="195" t="s">
        <v>232</v>
      </c>
    </row>
    <row r="119" spans="18:18">
      <c r="R119" s="195" t="s">
        <v>233</v>
      </c>
    </row>
    <row r="120" spans="18:18">
      <c r="R120" s="195" t="s">
        <v>234</v>
      </c>
    </row>
    <row r="121" spans="18:18">
      <c r="R121" s="195" t="s">
        <v>235</v>
      </c>
    </row>
    <row r="122" spans="18:18">
      <c r="R122" s="195" t="s">
        <v>236</v>
      </c>
    </row>
    <row r="123" spans="18:18">
      <c r="R123" s="195" t="s">
        <v>237</v>
      </c>
    </row>
    <row r="124" spans="18:18">
      <c r="R124" s="195" t="s">
        <v>238</v>
      </c>
    </row>
    <row r="125" spans="18:18">
      <c r="R125" s="195" t="s">
        <v>239</v>
      </c>
    </row>
    <row r="126" spans="18:18">
      <c r="R126" s="195" t="s">
        <v>240</v>
      </c>
    </row>
    <row r="127" spans="18:18">
      <c r="R127" s="195" t="s">
        <v>241</v>
      </c>
    </row>
    <row r="128" spans="18:18">
      <c r="R128" s="195" t="s">
        <v>242</v>
      </c>
    </row>
    <row r="129" spans="18:18">
      <c r="R129" s="195" t="s">
        <v>243</v>
      </c>
    </row>
    <row r="130" spans="18:18">
      <c r="R130" s="195" t="s">
        <v>244</v>
      </c>
    </row>
    <row r="131" spans="18:18">
      <c r="R131" s="195" t="s">
        <v>245</v>
      </c>
    </row>
    <row r="132" spans="18:18">
      <c r="R132" s="195" t="s">
        <v>246</v>
      </c>
    </row>
    <row r="133" spans="18:18">
      <c r="R133" s="195" t="s">
        <v>247</v>
      </c>
    </row>
    <row r="134" spans="18:18">
      <c r="R134" s="195" t="s">
        <v>248</v>
      </c>
    </row>
    <row r="135" spans="18:18">
      <c r="R135" s="195" t="s">
        <v>249</v>
      </c>
    </row>
    <row r="136" spans="18:18">
      <c r="R136" s="195" t="s">
        <v>250</v>
      </c>
    </row>
    <row r="137" spans="18:18">
      <c r="R137" s="195" t="s">
        <v>251</v>
      </c>
    </row>
    <row r="138" spans="18:18">
      <c r="R138" s="195" t="s">
        <v>252</v>
      </c>
    </row>
    <row r="139" spans="18:18">
      <c r="R139" s="195" t="s">
        <v>253</v>
      </c>
    </row>
    <row r="140" spans="18:18">
      <c r="R140" s="195" t="s">
        <v>254</v>
      </c>
    </row>
    <row r="141" spans="18:18">
      <c r="R141" s="195" t="s">
        <v>255</v>
      </c>
    </row>
    <row r="142" spans="18:18">
      <c r="R142" s="195" t="s">
        <v>256</v>
      </c>
    </row>
    <row r="143" spans="18:18">
      <c r="R143" s="195" t="s">
        <v>257</v>
      </c>
    </row>
    <row r="144" spans="18:18">
      <c r="R144" s="195" t="s">
        <v>258</v>
      </c>
    </row>
    <row r="145" spans="18:18">
      <c r="R145" s="195" t="s">
        <v>259</v>
      </c>
    </row>
    <row r="146" spans="18:18">
      <c r="R146" s="195" t="s">
        <v>260</v>
      </c>
    </row>
    <row r="147" spans="18:18">
      <c r="R147" s="195" t="s">
        <v>261</v>
      </c>
    </row>
    <row r="148" spans="18:18">
      <c r="R148" s="195" t="s">
        <v>262</v>
      </c>
    </row>
    <row r="149" spans="18:18">
      <c r="R149" s="195" t="s">
        <v>263</v>
      </c>
    </row>
    <row r="150" spans="18:18">
      <c r="R150" s="195" t="s">
        <v>264</v>
      </c>
    </row>
    <row r="151" spans="18:18">
      <c r="R151" s="195" t="s">
        <v>265</v>
      </c>
    </row>
    <row r="152" spans="18:18">
      <c r="R152" s="195" t="s">
        <v>266</v>
      </c>
    </row>
    <row r="153" spans="18:18">
      <c r="R153" s="195" t="s">
        <v>267</v>
      </c>
    </row>
    <row r="154" spans="18:18">
      <c r="R154" s="195" t="s">
        <v>268</v>
      </c>
    </row>
    <row r="155" spans="18:18">
      <c r="R155" s="195" t="s">
        <v>269</v>
      </c>
    </row>
    <row r="156" spans="18:18">
      <c r="R156" s="195" t="s">
        <v>270</v>
      </c>
    </row>
    <row r="157" spans="18:18">
      <c r="R157" s="195" t="s">
        <v>271</v>
      </c>
    </row>
    <row r="158" spans="18:18">
      <c r="R158" s="195" t="s">
        <v>272</v>
      </c>
    </row>
    <row r="159" spans="18:18">
      <c r="R159" s="195" t="s">
        <v>273</v>
      </c>
    </row>
    <row r="160" spans="18:18">
      <c r="R160" s="195" t="s">
        <v>274</v>
      </c>
    </row>
    <row r="161" spans="18:18">
      <c r="R161" s="195" t="s">
        <v>275</v>
      </c>
    </row>
    <row r="162" spans="18:18">
      <c r="R162" s="195" t="s">
        <v>276</v>
      </c>
    </row>
    <row r="163" spans="18:18">
      <c r="R163" s="195" t="s">
        <v>277</v>
      </c>
    </row>
    <row r="164" spans="18:18">
      <c r="R164" s="195" t="s">
        <v>278</v>
      </c>
    </row>
    <row r="165" spans="18:18">
      <c r="R165" s="195" t="s">
        <v>279</v>
      </c>
    </row>
    <row r="166" spans="18:18">
      <c r="R166" s="195" t="s">
        <v>280</v>
      </c>
    </row>
    <row r="167" spans="18:18">
      <c r="R167" s="195" t="s">
        <v>281</v>
      </c>
    </row>
    <row r="168" spans="18:18">
      <c r="R168" s="195" t="s">
        <v>282</v>
      </c>
    </row>
    <row r="169" spans="18:18">
      <c r="R169" s="195" t="s">
        <v>283</v>
      </c>
    </row>
    <row r="170" spans="18:18">
      <c r="R170" s="195" t="s">
        <v>284</v>
      </c>
    </row>
    <row r="171" spans="18:18">
      <c r="R171" s="195" t="s">
        <v>285</v>
      </c>
    </row>
    <row r="172" spans="18:18">
      <c r="R172" s="195" t="s">
        <v>286</v>
      </c>
    </row>
    <row r="173" spans="18:18">
      <c r="R173" s="195" t="s">
        <v>287</v>
      </c>
    </row>
    <row r="174" spans="18:18">
      <c r="R174" s="195" t="s">
        <v>288</v>
      </c>
    </row>
    <row r="175" spans="18:18">
      <c r="R175" s="195" t="s">
        <v>289</v>
      </c>
    </row>
    <row r="176" spans="18:18">
      <c r="R176" s="195" t="s">
        <v>290</v>
      </c>
    </row>
    <row r="177" spans="18:18">
      <c r="R177" s="195" t="s">
        <v>291</v>
      </c>
    </row>
    <row r="178" spans="18:18">
      <c r="R178" s="195" t="s">
        <v>292</v>
      </c>
    </row>
    <row r="179" spans="18:18">
      <c r="R179" s="195" t="s">
        <v>293</v>
      </c>
    </row>
    <row r="180" spans="18:18">
      <c r="R180" s="195" t="s">
        <v>294</v>
      </c>
    </row>
    <row r="181" spans="18:18">
      <c r="R181" s="195" t="s">
        <v>295</v>
      </c>
    </row>
    <row r="182" spans="18:18">
      <c r="R182" s="195" t="s">
        <v>296</v>
      </c>
    </row>
    <row r="183" spans="18:18">
      <c r="R183" s="195" t="s">
        <v>297</v>
      </c>
    </row>
    <row r="184" spans="18:18">
      <c r="R184" s="195" t="s">
        <v>298</v>
      </c>
    </row>
  </sheetData>
  <sheetProtection password="A028" sheet="1"/>
  <mergeCells count="1">
    <mergeCell ref="A1:G1"/>
  </mergeCells>
  <dataValidations count="4">
    <dataValidation type="list" allowBlank="1" showInputMessage="1" showErrorMessage="1" sqref="E6:E105">
      <formula1>LTV_ref</formula1>
    </dataValidation>
    <dataValidation type="list" allowBlank="1" showInputMessage="1" showErrorMessage="1" sqref="D6:D105">
      <formula1>Norm_ref</formula1>
    </dataValidation>
    <dataValidation type="list" allowBlank="1" showInputMessage="1" showErrorMessage="1" sqref="C6:C105">
      <formula1>CurrCode_ref</formula1>
    </dataValidation>
    <dataValidation type="list" allowBlank="1" showInputMessage="1" showErrorMessage="1" sqref="B6:B105">
      <formula1>Loan_ref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97</vt:i4>
      </vt:variant>
    </vt:vector>
  </HeadingPairs>
  <TitlesOfParts>
    <vt:vector size="104" baseType="lpstr">
      <vt:lpstr>Sheet1</vt:lpstr>
      <vt:lpstr>Sheet2</vt:lpstr>
      <vt:lpstr>Sheet3</vt:lpstr>
      <vt:lpstr>Sheet4</vt:lpstr>
      <vt:lpstr>Sheet5</vt:lpstr>
      <vt:lpstr>Sheet6</vt:lpstr>
      <vt:lpstr>Sheet7</vt:lpstr>
      <vt:lpstr>Company</vt:lpstr>
      <vt:lpstr>CurrCode_ref</vt:lpstr>
      <vt:lpstr>Date1</vt:lpstr>
      <vt:lpstr>Date2</vt:lpstr>
      <vt:lpstr>Sheet7!Loan_ref</vt:lpstr>
      <vt:lpstr>LTV_ref</vt:lpstr>
      <vt:lpstr>Name</vt:lpstr>
      <vt:lpstr>Norm_ref</vt:lpstr>
      <vt:lpstr>x13V3_AmSinglBorR</vt:lpstr>
      <vt:lpstr>x13V3_MagnN3</vt:lpstr>
      <vt:lpstr>xV3_AddCapDedInc</vt:lpstr>
      <vt:lpstr>xV3_AddCapDedNotInc</vt:lpstr>
      <vt:lpstr>xV3_Cur_DailyVar</vt:lpstr>
      <vt:lpstr>xV3_Cur_Gold</vt:lpstr>
      <vt:lpstr>xV3_Cur_Long</vt:lpstr>
      <vt:lpstr>xV3_Cur_MaxPos</vt:lpstr>
      <vt:lpstr>xV3_Cur_RiskSt</vt:lpstr>
      <vt:lpstr>xV3_Cur_Short</vt:lpstr>
      <vt:lpstr>xV3_FixCapAmDed</vt:lpstr>
      <vt:lpstr>xV3_GrAddCap</vt:lpstr>
      <vt:lpstr>xV3_GrFixCap</vt:lpstr>
      <vt:lpstr>xV3_GrTotCap</vt:lpstr>
      <vt:lpstr>xV3_LTV_Loan_Curr</vt:lpstr>
      <vt:lpstr>xV3_LTV_Loan_N5</vt:lpstr>
      <vt:lpstr>xV3_LTV_Loan_Qt</vt:lpstr>
      <vt:lpstr>xV3_LTV_Loan_Ratio</vt:lpstr>
      <vt:lpstr>xV3_LTV_Loan_Sum</vt:lpstr>
      <vt:lpstr>xV3_LTV_Loan_Type</vt:lpstr>
      <vt:lpstr>xV3_NormAddCap</vt:lpstr>
      <vt:lpstr>xV3_NormFixCap</vt:lpstr>
      <vt:lpstr>xV3_NormGrAddCap</vt:lpstr>
      <vt:lpstr>xV3_NormTotCap</vt:lpstr>
      <vt:lpstr>xV3_RWA_OffBal</vt:lpstr>
      <vt:lpstr>xV3_RWA_OffBalAss_R000</vt:lpstr>
      <vt:lpstr>xV3_RWA_OffBalAss_R010</vt:lpstr>
      <vt:lpstr>xV3_RWA_OffBalAss_R020</vt:lpstr>
      <vt:lpstr>xV3_RWA_OffBalAss_R030</vt:lpstr>
      <vt:lpstr>xV3_RWA_OffBalAss_R050</vt:lpstr>
      <vt:lpstr>xV3_RWA_OffBalAss_R075</vt:lpstr>
      <vt:lpstr>xV3_RWA_OffBalAss_R085</vt:lpstr>
      <vt:lpstr>xV3_RWA_OffBalAss_R100</vt:lpstr>
      <vt:lpstr>xV3_RWA_OffBalAss_R110</vt:lpstr>
      <vt:lpstr>xV3_RWA_OffBalAss_R125</vt:lpstr>
      <vt:lpstr>xV3_RWA_OffBalAss_R150</vt:lpstr>
      <vt:lpstr>xV3_RWA_OffBalAss_R225</vt:lpstr>
      <vt:lpstr>xV3_RWA_OffBalAss000Res</vt:lpstr>
      <vt:lpstr>xV3_RWA_OffBalAss010Res</vt:lpstr>
      <vt:lpstr>xV3_RWA_OffBalAss020Res</vt:lpstr>
      <vt:lpstr>xV3_RWA_OffBalAss030Res</vt:lpstr>
      <vt:lpstr>xV3_RWA_OffBalAss050Res</vt:lpstr>
      <vt:lpstr>xV3_RWA_OffBalAss075Res</vt:lpstr>
      <vt:lpstr>xV3_RWA_OffBalAss085Res</vt:lpstr>
      <vt:lpstr>xV3_RWA_OffBalAss100Res</vt:lpstr>
      <vt:lpstr>xV3_RWA_OffBalAss110Res</vt:lpstr>
      <vt:lpstr>xV3_RWA_OffBalAss125Res</vt:lpstr>
      <vt:lpstr>xV3_RWA_OffBalAss150Res</vt:lpstr>
      <vt:lpstr>xV3_RWA_OffBalAss225Res</vt:lpstr>
      <vt:lpstr>xV3_RWA_R000</vt:lpstr>
      <vt:lpstr>xV3_RWA_R010</vt:lpstr>
      <vt:lpstr>xV3_RWA_R020</vt:lpstr>
      <vt:lpstr>xV3_RWA_R030</vt:lpstr>
      <vt:lpstr>xV3_RWA_R050</vt:lpstr>
      <vt:lpstr>xV3_RWA_R075</vt:lpstr>
      <vt:lpstr>xV3_RWA_R085</vt:lpstr>
      <vt:lpstr>xV3_RWA_R100</vt:lpstr>
      <vt:lpstr>xV3_RWA_R110</vt:lpstr>
      <vt:lpstr>xV3_RWA_R125</vt:lpstr>
      <vt:lpstr>xV3_RWA_R150</vt:lpstr>
      <vt:lpstr>xV3_RWA_R225</vt:lpstr>
      <vt:lpstr>xV3_RWA_TotAss</vt:lpstr>
      <vt:lpstr>xV3_RWA000Acc</vt:lpstr>
      <vt:lpstr>xV3_RWA010Acc</vt:lpstr>
      <vt:lpstr>xV3_RWA020Acc</vt:lpstr>
      <vt:lpstr>xV3_RWA030Acc</vt:lpstr>
      <vt:lpstr>xV3_RWA050Acc</vt:lpstr>
      <vt:lpstr>xV3_RWA075Acc</vt:lpstr>
      <vt:lpstr>xV3_RWA085Acc</vt:lpstr>
      <vt:lpstr>xV3_RWA100Acc</vt:lpstr>
      <vt:lpstr>xV3_RWA110Acc</vt:lpstr>
      <vt:lpstr>xV3_RWA125Acc</vt:lpstr>
      <vt:lpstr>xV3_RWA150Acc</vt:lpstr>
      <vt:lpstr>xV3_RWA225Acc</vt:lpstr>
      <vt:lpstr>yV3_Acc_Dev_AMD</vt:lpstr>
      <vt:lpstr>yV3_Acc_Dev_Curr</vt:lpstr>
      <vt:lpstr>yV3_Cur_10DayVar</vt:lpstr>
      <vt:lpstr>yV3_Cur_ExcDaysVar</vt:lpstr>
      <vt:lpstr>yV3_Cur_G</vt:lpstr>
      <vt:lpstr>yV3_Cur_Risk</vt:lpstr>
      <vt:lpstr>yV3_Fact_Dev_AMD</vt:lpstr>
      <vt:lpstr>yV3_Fact_Dev_Curr</vt:lpstr>
      <vt:lpstr>yV3_FactQt_UnstL_AMD</vt:lpstr>
      <vt:lpstr>yV3_FactQt_UnstL_Curr</vt:lpstr>
      <vt:lpstr>yV3_MagnN11</vt:lpstr>
      <vt:lpstr>yV3_PrevAvg_AMD</vt:lpstr>
      <vt:lpstr>yV3_PrevAvg_Curr</vt:lpstr>
      <vt:lpstr>yV3_Ratio</vt:lpstr>
      <vt:lpstr>yV3_RWA</vt:lpstr>
    </vt:vector>
  </TitlesOfParts>
  <Company>C B 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HAMBARDZUMYAN</dc:creator>
  <cp:lastModifiedBy>cloudconvert_15</cp:lastModifiedBy>
  <cp:lastPrinted>2004-09-27T11:42:44Z</cp:lastPrinted>
  <dcterms:created xsi:type="dcterms:W3CDTF">2002-09-05T04:34:35Z</dcterms:created>
  <dcterms:modified xsi:type="dcterms:W3CDTF">2026-08-04T04:03:31Z</dcterms:modified>
</cp:coreProperties>
</file>
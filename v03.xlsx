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\\host.lan\Data\files\tasks\3b1b53ad-f5e3-41fe-8f14-0d44a52616ec\"/>
    </mc:Choice>
  </mc:AlternateContent>
  <xr:revisionPtr revIDLastSave="0" documentId="8_{BE66A2E1-7459-419B-AAE9-7238AA60950D}" xr6:coauthVersionLast="47" xr6:coauthVersionMax="47" xr10:uidLastSave="{00000000-0000-0000-0000-000000000000}"/>
  <bookViews>
    <workbookView xWindow="-120" yWindow="-120" windowWidth="19440" windowHeight="10440" tabRatio="601"/>
  </bookViews>
  <sheets>
    <sheet name="Sheet1" sheetId="4" r:id="rId1"/>
    <sheet name="Sheet2" sheetId="1" r:id="rId2"/>
    <sheet name="Sheet3" sheetId="2" r:id="rId3"/>
    <sheet name="Sheet4" sheetId="6" r:id="rId4"/>
    <sheet name="Sheet5" sheetId="7" r:id="rId5"/>
    <sheet name="Sheet6" sheetId="9" r:id="rId6"/>
  </sheets>
  <definedNames>
    <definedName name="Company">Sheet1!$D$10</definedName>
    <definedName name="Date1">Sheet1!$D$11</definedName>
    <definedName name="Date2">Sheet1!$F$11</definedName>
    <definedName name="Name">Sheet1!$B$8</definedName>
    <definedName name="x13V3_AmSinglBorR">Sheet1!$D$15</definedName>
    <definedName name="x13V3_MagnN3">Sheet1!$C$32</definedName>
    <definedName name="xV3_AddCapDedInc">Sheet2!$F$8</definedName>
    <definedName name="xV3_AddCapDedNotInc">Sheet2!$G$8</definedName>
    <definedName name="xV3_Cur_DailyVar">Sheet6!$B$9</definedName>
    <definedName name="xV3_Cur_Gold">Sheet5!$D$7</definedName>
    <definedName name="xV3_Cur_Long">Sheet5!$B$7</definedName>
    <definedName name="xV3_Cur_MaxPos">Sheet5!$E$7</definedName>
    <definedName name="xV3_Cur_RiskSt">Sheet5!$F$7</definedName>
    <definedName name="xV3_Cur_Short">Sheet5!$C$7</definedName>
    <definedName name="xV3_FixCapAmDed">Sheet2!$E$8</definedName>
    <definedName name="xV3_GrAddCap">Sheet2!$C$8</definedName>
    <definedName name="xV3_GrFixCap">Sheet2!$B$8</definedName>
    <definedName name="xV3_GrTotCap">Sheet2!$D$8</definedName>
    <definedName name="xV3_NormAddCap">Sheet2!$J$8</definedName>
    <definedName name="xV3_NormFixCap">Sheet2!$H$8</definedName>
    <definedName name="xV3_NormGrAddCap">Sheet2!$I$8</definedName>
    <definedName name="xV3_NormTotCap">Sheet2!$K$8</definedName>
    <definedName name="xV3_RWA_OffBal">Sheet4!$V$7</definedName>
    <definedName name="xV3_RWA_OffBalAss_R000">Sheet4!$B$7</definedName>
    <definedName name="xV3_RWA_OffBalAss_R010">Sheet4!$D$7</definedName>
    <definedName name="xV3_RWA_OffBalAss_R020">Sheet4!$F$7</definedName>
    <definedName name="xV3_RWA_OffBalAss_R030">Sheet4!$H$7</definedName>
    <definedName name="xV3_RWA_OffBalAss_R050">Sheet4!$J$7</definedName>
    <definedName name="xV3_RWA_OffBalAss_R075">Sheet4!$L$7</definedName>
    <definedName name="xV3_RWA_OffBalAss_R100">Sheet4!$N$7</definedName>
    <definedName name="xV3_RWA_OffBalAss_R110">Sheet4!$P$7</definedName>
    <definedName name="xV3_RWA_OffBalAss_R150">Sheet4!$R$7</definedName>
    <definedName name="xV3_RWA_OffBalAss_R225">Sheet4!$T$7</definedName>
    <definedName name="xV3_RWA_OffBalAss000Res">Sheet4!$C$7</definedName>
    <definedName name="xV3_RWA_OffBalAss010Res">Sheet4!$E$7</definedName>
    <definedName name="xV3_RWA_OffBalAss020Res">Sheet4!$G$7</definedName>
    <definedName name="xV3_RWA_OffBalAss030Res">Sheet4!$I$7</definedName>
    <definedName name="xV3_RWA_OffBalAss050Res">Sheet4!$K$7</definedName>
    <definedName name="xV3_RWA_OffBalAss075Res">Sheet4!$M$7</definedName>
    <definedName name="xV3_RWA_OffBalAss100Res">Sheet4!$O$7</definedName>
    <definedName name="xV3_RWA_OffBalAss110Res">Sheet4!$Q$7</definedName>
    <definedName name="xV3_RWA_OffBalAss150Res">Sheet4!$S$7</definedName>
    <definedName name="xV3_RWA_OffBalAss225Res">Sheet4!$U$7</definedName>
    <definedName name="xV3_RWA_R000">Sheet3!$B$7</definedName>
    <definedName name="xV3_RWA_R010">Sheet3!$D$7</definedName>
    <definedName name="xV3_RWA_R020">Sheet3!$F$7</definedName>
    <definedName name="xV3_RWA_R030">Sheet3!$H$7</definedName>
    <definedName name="xV3_RWA_R050">Sheet3!$J$7</definedName>
    <definedName name="xV3_RWA_R075">Sheet3!$L$7</definedName>
    <definedName name="xV3_RWA_R100">Sheet3!$N$7</definedName>
    <definedName name="xV3_RWA_R110">Sheet3!$P$7</definedName>
    <definedName name="xV3_RWA_R150">Sheet3!$R$7</definedName>
    <definedName name="xV3_RWA_R225">Sheet3!$T$7</definedName>
    <definedName name="xV3_RWA_TotAss">Sheet3!$V$7</definedName>
    <definedName name="xV3_RWA000Acc">Sheet3!$C$7</definedName>
    <definedName name="xV3_RWA010Acc">Sheet3!$E$7</definedName>
    <definedName name="xV3_RWA020Acc">Sheet3!$G$7</definedName>
    <definedName name="xV3_RWA030Acc">Sheet3!$I$7</definedName>
    <definedName name="xV3_RWA050Acc">Sheet3!$K$7</definedName>
    <definedName name="xV3_RWA075Acc">Sheet3!$M$7</definedName>
    <definedName name="xV3_RWA100Acc">Sheet3!$O$7</definedName>
    <definedName name="xV3_RWA110Acc">Sheet3!$Q$7</definedName>
    <definedName name="xV3_RWA150Acc">Sheet3!$S$7</definedName>
    <definedName name="xV3_RWA225Acc">Sheet3!$U$7</definedName>
    <definedName name="yV3_Cur_10DayVar">Sheet6!$C$10</definedName>
    <definedName name="yV3_Cur_ExcDaysVar">Sheet6!$D$10</definedName>
    <definedName name="yV3_Cur_G">Sheet6!$E$10</definedName>
    <definedName name="yV3_Cur_Risk">Sheet6!$F$10</definedName>
    <definedName name="yV3_MagnN11">Sheet1!$B$33</definedName>
    <definedName name="yV3_Ratio">Sheet1!$E$16</definedName>
    <definedName name="yV3_RWA">Sheet1!$C$16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0" i="1" l="1"/>
  <c r="G40" i="1"/>
  <c r="F40" i="1"/>
  <c r="E40" i="1"/>
  <c r="C40" i="1"/>
  <c r="B40" i="1"/>
  <c r="B39" i="2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E3" i="1"/>
  <c r="E10" i="9"/>
  <c r="B41" i="9"/>
  <c r="F10" i="9" s="1"/>
  <c r="V9" i="2"/>
  <c r="V10" i="2"/>
  <c r="V11" i="2"/>
  <c r="V12" i="2"/>
  <c r="V13" i="2"/>
  <c r="V14" i="2"/>
  <c r="V15" i="2"/>
  <c r="V16" i="2"/>
  <c r="V17" i="2"/>
  <c r="V39" i="2" s="1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8" i="2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8" i="6"/>
  <c r="V39" i="6" s="1"/>
  <c r="C10" i="9"/>
  <c r="E9" i="7"/>
  <c r="F9" i="7"/>
  <c r="E10" i="7"/>
  <c r="F10" i="7" s="1"/>
  <c r="E11" i="7"/>
  <c r="F11" i="7" s="1"/>
  <c r="E12" i="7"/>
  <c r="F12" i="7"/>
  <c r="E13" i="7"/>
  <c r="F13" i="7"/>
  <c r="E14" i="7"/>
  <c r="F14" i="7"/>
  <c r="E15" i="7"/>
  <c r="F15" i="7" s="1"/>
  <c r="E16" i="7"/>
  <c r="F16" i="7"/>
  <c r="E17" i="7"/>
  <c r="F17" i="7"/>
  <c r="E18" i="7"/>
  <c r="F18" i="7" s="1"/>
  <c r="E19" i="7"/>
  <c r="F19" i="7" s="1"/>
  <c r="E20" i="7"/>
  <c r="F20" i="7"/>
  <c r="E21" i="7"/>
  <c r="F21" i="7"/>
  <c r="E22" i="7"/>
  <c r="F22" i="7"/>
  <c r="E23" i="7"/>
  <c r="F23" i="7" s="1"/>
  <c r="E24" i="7"/>
  <c r="F24" i="7"/>
  <c r="E25" i="7"/>
  <c r="F25" i="7"/>
  <c r="E26" i="7"/>
  <c r="F26" i="7" s="1"/>
  <c r="E27" i="7"/>
  <c r="F27" i="7" s="1"/>
  <c r="E28" i="7"/>
  <c r="F28" i="7"/>
  <c r="E29" i="7"/>
  <c r="F29" i="7"/>
  <c r="E30" i="7"/>
  <c r="F30" i="7"/>
  <c r="E31" i="7"/>
  <c r="F31" i="7" s="1"/>
  <c r="E32" i="7"/>
  <c r="F32" i="7"/>
  <c r="E33" i="7"/>
  <c r="F33" i="7"/>
  <c r="E34" i="7"/>
  <c r="F34" i="7" s="1"/>
  <c r="E35" i="7"/>
  <c r="F35" i="7" s="1"/>
  <c r="E36" i="7"/>
  <c r="F36" i="7"/>
  <c r="E37" i="7"/>
  <c r="F37" i="7"/>
  <c r="E38" i="7"/>
  <c r="F38" i="7"/>
  <c r="E8" i="7"/>
  <c r="F8" i="7" s="1"/>
  <c r="K39" i="1"/>
  <c r="K35" i="1"/>
  <c r="K29" i="1"/>
  <c r="H10" i="1"/>
  <c r="I10" i="1"/>
  <c r="H9" i="1"/>
  <c r="H40" i="1" s="1"/>
  <c r="I9" i="1"/>
  <c r="J9" i="1" s="1"/>
  <c r="K9" i="1"/>
  <c r="K40" i="1" s="1"/>
  <c r="B16" i="4" s="1"/>
  <c r="H11" i="1"/>
  <c r="I11" i="1"/>
  <c r="J11" i="1"/>
  <c r="H12" i="1"/>
  <c r="I12" i="1"/>
  <c r="J12" i="1" s="1"/>
  <c r="H13" i="1"/>
  <c r="I13" i="1"/>
  <c r="J13" i="1"/>
  <c r="H14" i="1"/>
  <c r="I14" i="1"/>
  <c r="J14" i="1"/>
  <c r="H15" i="1"/>
  <c r="I15" i="1"/>
  <c r="H16" i="1"/>
  <c r="I16" i="1"/>
  <c r="J16" i="1"/>
  <c r="H17" i="1"/>
  <c r="I17" i="1"/>
  <c r="J17" i="1"/>
  <c r="H18" i="1"/>
  <c r="I18" i="1"/>
  <c r="J18" i="1" s="1"/>
  <c r="H19" i="1"/>
  <c r="I19" i="1"/>
  <c r="H20" i="1"/>
  <c r="K20" i="1"/>
  <c r="I20" i="1"/>
  <c r="J20" i="1"/>
  <c r="H21" i="1"/>
  <c r="I21" i="1"/>
  <c r="J21" i="1" s="1"/>
  <c r="K21" i="1"/>
  <c r="H22" i="1"/>
  <c r="I22" i="1"/>
  <c r="J22" i="1"/>
  <c r="H23" i="1"/>
  <c r="I23" i="1"/>
  <c r="J23" i="1"/>
  <c r="K23" i="1"/>
  <c r="H24" i="1"/>
  <c r="I24" i="1"/>
  <c r="H25" i="1"/>
  <c r="I25" i="1"/>
  <c r="H26" i="1"/>
  <c r="I26" i="1"/>
  <c r="J26" i="1" s="1"/>
  <c r="H27" i="1"/>
  <c r="K27" i="1"/>
  <c r="I27" i="1"/>
  <c r="J27" i="1"/>
  <c r="H28" i="1"/>
  <c r="I28" i="1"/>
  <c r="J28" i="1" s="1"/>
  <c r="H29" i="1"/>
  <c r="I29" i="1"/>
  <c r="J29" i="1" s="1"/>
  <c r="H30" i="1"/>
  <c r="I30" i="1"/>
  <c r="J30" i="1" s="1"/>
  <c r="H31" i="1"/>
  <c r="I31" i="1"/>
  <c r="H32" i="1"/>
  <c r="I32" i="1"/>
  <c r="H33" i="1"/>
  <c r="I33" i="1"/>
  <c r="J33" i="1"/>
  <c r="H34" i="1"/>
  <c r="I34" i="1"/>
  <c r="J34" i="1" s="1"/>
  <c r="H35" i="1"/>
  <c r="I35" i="1"/>
  <c r="J35" i="1" s="1"/>
  <c r="H36" i="1"/>
  <c r="I36" i="1"/>
  <c r="J36" i="1" s="1"/>
  <c r="K36" i="1"/>
  <c r="H37" i="1"/>
  <c r="I37" i="1"/>
  <c r="J37" i="1" s="1"/>
  <c r="K37" i="1"/>
  <c r="H38" i="1"/>
  <c r="I38" i="1"/>
  <c r="J38" i="1"/>
  <c r="K38" i="1"/>
  <c r="H39" i="1"/>
  <c r="I39" i="1"/>
  <c r="J39" i="1"/>
  <c r="D9" i="1"/>
  <c r="D40" i="1" s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C3" i="1"/>
  <c r="K11" i="1"/>
  <c r="K14" i="1"/>
  <c r="K32" i="1"/>
  <c r="K25" i="1"/>
  <c r="J10" i="1"/>
  <c r="K10" i="1"/>
  <c r="J31" i="1"/>
  <c r="K31" i="1"/>
  <c r="J24" i="1"/>
  <c r="K24" i="1"/>
  <c r="K33" i="1"/>
  <c r="K30" i="1"/>
  <c r="K26" i="1"/>
  <c r="K17" i="1"/>
  <c r="J32" i="1"/>
  <c r="J25" i="1"/>
  <c r="J15" i="1"/>
  <c r="K15" i="1"/>
  <c r="K12" i="1"/>
  <c r="K34" i="1"/>
  <c r="K18" i="1"/>
  <c r="K13" i="1"/>
  <c r="K22" i="1"/>
  <c r="K28" i="1"/>
  <c r="K16" i="1"/>
  <c r="K19" i="1"/>
  <c r="J19" i="1"/>
  <c r="C45" i="4" l="1"/>
  <c r="C40" i="4"/>
  <c r="C37" i="4"/>
  <c r="C36" i="4"/>
  <c r="C43" i="4"/>
  <c r="C33" i="4"/>
  <c r="C38" i="4"/>
  <c r="C35" i="4"/>
  <c r="C39" i="4"/>
  <c r="C42" i="4"/>
  <c r="C41" i="4"/>
  <c r="C44" i="4"/>
  <c r="C34" i="4"/>
  <c r="J40" i="1"/>
  <c r="F39" i="7"/>
  <c r="C16" i="4" s="1"/>
  <c r="B33" i="4" s="1"/>
</calcChain>
</file>

<file path=xl/sharedStrings.xml><?xml version="1.0" encoding="utf-8"?>
<sst xmlns="http://schemas.openxmlformats.org/spreadsheetml/2006/main" count="115" uniqueCount="82">
  <si>
    <t>ÜáñÙ³ïÇíÝ»ñÇ Ñ³ßí³ñÏÇ Ù»ç ÁÝ¹·ñÏíáÕ ÙÇçÇÝ óáõó³ÝÇßÝ»ñÇ Ñ³ßí³ñÏÁ</t>
  </si>
  <si>
    <t>²Ùë³ÃÇíÁ</t>
  </si>
  <si>
    <t>Ã. -Çó ÙÇÝã¨</t>
  </si>
  <si>
    <t>Ã.</t>
  </si>
  <si>
    <t>(Ñ³½. ¹ñ³Ù)</t>
  </si>
  <si>
    <t>ÜáñÙ³ïÇíÝ»ñÇ Ñ³ßí³ñÏÇÝ Ù³ëÝ³ÏóáÕ</t>
  </si>
  <si>
    <t>²Ùëí³ ûñ»ñÁ</t>
  </si>
  <si>
    <t>ÐÇÙÝ³Ï³Ý  Ï³åÇï³É</t>
  </si>
  <si>
    <t>Èñ³óáõóÇã Ï³åÇï³É</t>
  </si>
  <si>
    <t>ÀÝ¹Ñ³Ýáõñ Ï³åÇï³É</t>
  </si>
  <si>
    <t>ØÇçÇÝ</t>
  </si>
  <si>
    <t>(ß³ñáõÝ³ÏáõÃÛáõÝ)</t>
  </si>
  <si>
    <t>èÇëÏáí Ïßéí³Í ³ÏïÇíÝ»ñÇ Ñ³ßí³ñÏÝ Áëï ûñ»ñÇ</t>
  </si>
  <si>
    <t>èÇëÏÇ 0 % ÏßÇé</t>
  </si>
  <si>
    <t>èÇëÏÇ 10 % ÏßÇé</t>
  </si>
  <si>
    <t>èÇëÏÇ 20 % ÏßÇé</t>
  </si>
  <si>
    <t>èÇëÏÇ 50 % ÏßÇé</t>
  </si>
  <si>
    <t>èÇëÏÇ 100 % ÏßÇé</t>
  </si>
  <si>
    <t xml:space="preserve">ÀÝ¹Ñ³Ýáõñ Ï³åÇï³É </t>
  </si>
  <si>
    <t>Ø»Ï ÷áË³éáõÇ ·Íáí  éÇëÏÇ ·áõÙ³ñÁ</t>
  </si>
  <si>
    <t>Î.î.</t>
  </si>
  <si>
    <t>(·áñÍ³¹Çñ ïÝûñ»Ý)</t>
  </si>
  <si>
    <t>ÐÇÙÝ³Ï³Ý Ï³åÇï³É (1-4)</t>
  </si>
  <si>
    <t>Èñ³óáõóÇã Ï³åÇï³É (áã ³í»ÉÇ, ù³Ý ÑÇÙÝ³Ï³Ý Ï³åÇï³ÉÇ 50%)</t>
  </si>
  <si>
    <t>ì³ñÏ³ÛÇÝ Ï³½Ù³Ï»ñåáõÃÛ³Ý ³Ýí³ÝáõÙÁ</t>
  </si>
  <si>
    <t>Ò¨ ÃÇí 3</t>
  </si>
  <si>
    <t>Ð²ÞìºîìàôÂÚàôÜ</t>
  </si>
  <si>
    <t>èÇëÏáí Ïßéí³Í ³ÏïÇíÝ»ñ</t>
  </si>
  <si>
    <t>(1/2)</t>
  </si>
  <si>
    <t>ÜáñÙ³ïÇí³ÛÇÝ Éñ³óáõóÇã Ï³åÇï³ÉÇ Ñ³ßí³ñÏÇÝ Ù³ëÝ³ÏóáÕ ·áõÙ³ñÝ»ñ</t>
  </si>
  <si>
    <t>ÀÝ¹·ñÏíáÕ ·áõÙ³ñÝ»ñ</t>
  </si>
  <si>
    <t>âÁÝ¹·ñÏíáÕ ·áõÙ³ñÝ»ñ</t>
  </si>
  <si>
    <t>Èñ³óáõóÇã Ï³åÇï³É (2+5-6)</t>
  </si>
  <si>
    <t>²ÏïÇíÇ ÑÝ³ñ³íáñ ÏáñáõëïÇ Ù³ëÑ³ÝáõÙ</t>
  </si>
  <si>
    <t>Ð»ïÑ³ßí»Ïßé³ÛÇÝ å³ÛÙ³Ý³Ï³Ý å³ñï³íáñáõÃÛáõÝÝ»ñ ¨ ³Ý³í³ñï Å³ÙÏ»ï³ÛÇÝ ·áñÍ³éÝáõÃÛáõÝÝ»ñ (Ñ»ïÑ³ßí»Ïßé³ÛÇÝ Ñá¹í³Í) Áëï éÇëÏÇ ÏßÇéÝ»ñÇ, ¹ñ³Ýó Ñ³Ù³å³ï³ëË³Ý å³ÑáõëïÝ»ñ</t>
  </si>
  <si>
    <t>èÇëÏÇ 0% ÏßÇé</t>
  </si>
  <si>
    <t>ä³Ñáõëï</t>
  </si>
  <si>
    <t>èÇëÏÇ 10% ÏßÇé</t>
  </si>
  <si>
    <t>èÇëÏÇ 20% ÏßÇé</t>
  </si>
  <si>
    <t>èÇëÏÇ 50% ÏßÇé</t>
  </si>
  <si>
    <t>èÇëÏÇ 100% ÏßÇé</t>
  </si>
  <si>
    <t>ÀÝ¹Ñ³Ýáõñ Ï³åÇï³É (7+9)</t>
  </si>
  <si>
    <t>Ð³ßí»Ïßé³ÛÇÝ Ñá¹í³ÍÝ»ñ Áëï éÇëÏ»ñÇ, ¹ñ³Ýó Ñ³Ù³å³ï³ëË³Ý ³ÏïÇíÝ»ñÇ ÑÝ³ñ³íáñ ÏáñáõëïÝ»ñÇ Ù³ëÑ³ÝáõÙÝ»ñ</t>
  </si>
  <si>
    <t xml:space="preserve">     ¶ÉË³íáñ Ñ³ßí³å³Ñ</t>
  </si>
  <si>
    <t>ÜáñÙ³ïÇí³ÛÇÝ Ï³åÇï³ÉÇ Ñ³ßí³ñÏÇ Ñ³Ù³ñ ³ÝÑñ³Å»ßï ÑÇÙÝ³Ï³Ý Ï³åÇï³ÉÇó å³Ï³ë»óíáÕ ·áõÙ³ñÝ»ñ</t>
  </si>
  <si>
    <t>ÐÇÙÝ³Ï³Ý ïÝï»ë³Ï³Ý ÝáñÙ³ïÇíÝ»ñÇ í»ñ³µ»ñÛ³É</t>
  </si>
  <si>
    <r>
      <t>Ü</t>
    </r>
    <r>
      <rPr>
        <vertAlign val="subscript"/>
        <sz val="9"/>
        <rFont val="Arial Armenian"/>
        <family val="2"/>
      </rPr>
      <t>3</t>
    </r>
    <r>
      <rPr>
        <sz val="9"/>
        <rFont val="Arial Armenian"/>
        <family val="2"/>
      </rPr>
      <t xml:space="preserve"> ÝáñÙ³ïÇíÇ Ù»ÍáõÃÛáõÝÁ</t>
    </r>
  </si>
  <si>
    <t>ÀÝ¹Ñ³Ýáõñ Ï³åÇï³ÉÇ ¨ Ýñ³ ï³ññ»ñÇ Ñ³ßí³ñÏÝ Áëï ûñ»ñÇ</t>
  </si>
  <si>
    <t>(3/1)</t>
  </si>
  <si>
    <t xml:space="preserve">     ì³ñÏ³ÛÇÝ Ï³½Ù³Ï»ñåáõÃÛ³Ý í³ñãáõÃÛ³Ý Ý³Ë³·³Ñ</t>
  </si>
  <si>
    <t>Ð²ìºÈì²Ì 2</t>
  </si>
  <si>
    <t>§ì³ñÏ³ÛÇÝ Ï³½Ù³Ï»ñåáõÃÛáõÝÝ»ñÇ Ñ³ßí»ïíáõÃÛáõÝÝ»ñÁ,   ¹ñ³Ýó Ý»ñÏ³Û³óáõÙÁ ¨ Ññ³å³ñ³ÏáõÙÁ¦ Ï³ÝáÝ³Ï³ñ· 15-Ç</t>
  </si>
  <si>
    <t>¶áñÍ³ÏÇó</t>
  </si>
  <si>
    <t>Ü1 ÝáñÙ³ïÇíÇ Ù»ÍáõÃÛáõÝÁ</t>
  </si>
  <si>
    <t>ÜáñÙ³ïÇíÝ»ñÇ Ñ³ßí³ñÏÇ Ù»ç ÁÝ¹·ñÏíáÕ ÙÇçÇÝ óáõó³ÝÇßÝ»ñÇ Ñ³ßí³ñÏÁ (ß³ñáõÝ³ÏáõÃÛáõÝ)</t>
  </si>
  <si>
    <t>²ñï³ñÅáõÃ³ÛÇÝ éÇëÏÇ Ñ³ßí³ñÏ (êï³Ý¹³ñï  Ù»Ãá¹³µ³ÝáõÃÛáõÝ)</t>
  </si>
  <si>
    <t xml:space="preserve">²ñï³ñÅáõÃ³ÛÇÝ »ñÏ³ñ ¹Çñù»ñÇ Ñ³Ýñ³·áõÙ³ñ      </t>
  </si>
  <si>
    <t xml:space="preserve">²ñï³ñÅáõÃ³ÛÇÝ Ï³ñ× ¹Çñù»ñÇ Ñ³Ýñ³·áõÙ³ñ (µ³ó³ñÓ³Ï Ù»ÍáõÃÛ³Ùµ)           </t>
  </si>
  <si>
    <t>Â³ÝÏ³ñÅ»ù Ù»ï³ÕÝ»ñÇ µ³ÝÏ³ÛÇÝ ëï³Ý¹³ñï³óí³Í ÓáõÉ³ÏïáñÝ»ñÇ µ³ó ¹Çñù»ñÇ µ³ó³ñÓ³Ï Ù»ÍáõÃÛáõÝÝ»ñÇ  Ñ³Ýñ³·áõÙ³ñ</t>
  </si>
  <si>
    <t xml:space="preserve">²ñï³ñÅáõÃ³ÛÇÝ ³é³í»É³·áõÛÝ ¹ÇñùÁ   </t>
  </si>
  <si>
    <t>²ñï³ñÅáõÃ³ÛÇÝ éÇëÏ                                    (4) * 12%</t>
  </si>
  <si>
    <t>²é³í»É³·áõÛÝ</t>
  </si>
  <si>
    <t>²ñï³ñÅáõÃ³ÛÇÝ éÇëÏÇ Ñ³ßí³ñÏ (ì³è Ù»Ãá¹³µ³ÝáõÃÛáõÝ)</t>
  </si>
  <si>
    <t>úñ³Ï³Ý ì³è</t>
  </si>
  <si>
    <t>î³ëÝûñÛ³ ì³è</t>
  </si>
  <si>
    <t>¶»ñ³½³ÝóáÕ ûñ»ñÇ ù³Ý³ÏÁ</t>
  </si>
  <si>
    <t>¶</t>
  </si>
  <si>
    <t>²ñï³ñÅáõÃ³ÛÇÝ éÇëÏ</t>
  </si>
  <si>
    <t>¿ç 6</t>
  </si>
  <si>
    <t>èÇëÏÇ 30 % ÏßÇé</t>
  </si>
  <si>
    <t>èÇëÏÇ 75 % ÏßÇé</t>
  </si>
  <si>
    <t>èÇëÏÇ 110 % ÏßÇé</t>
  </si>
  <si>
    <t>èÇëÏÇ 150 % ÏßÇé</t>
  </si>
  <si>
    <t>èÇëÏÇ 225 % ÏßÇé</t>
  </si>
  <si>
    <t xml:space="preserve">èÇëÏáí Ïßéí³Í ³ÏïÇíÝ»ñ  [ (1-2)*0% + (3-4)*10%+(5-6)*20%+(7-8)*30%+(9-10)*50%)+(11-12)*75%)
+(13-14)*100%)+(15-16)*110%)+(17-18)*150%)+(19-20)*225%)]
</t>
  </si>
  <si>
    <t>èÇëÏÇ 30% ÏßÇé</t>
  </si>
  <si>
    <t>èÇëÏÇ 75% ÏßÇé</t>
  </si>
  <si>
    <t>èÇëÏÇ 110% ÏßÇé</t>
  </si>
  <si>
    <t>èÇëÏÇ 150% ÏßÇé</t>
  </si>
  <si>
    <t>èÇëÏáí Ïßéí³Í Ñ»ïÑ³ß-í»Ïßé³ÛÇÝ Ñá¹í³ÍÝ»ñ ( (1-2)*0% + (3-4)*10%+(5-6)*20%+(7-8)*30%+(9-10) *50%)+(11-12)*75%)
+(13-14)*100%)+(15-16)*110%)+(17-18) *150%)+(19-20)*225%)</t>
  </si>
  <si>
    <t>2011_October</t>
  </si>
  <si>
    <t>èÇëÏÇ 225% ÏßÇé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</si>
</sst>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73" formatCode="0.0%"/>
  </numFmts>
  <fonts count="18">
    <font>
      <sz val="10"/>
      <name val="Arial"/>
    </font>
    <font>
      <sz val="10"/>
      <name val="Arial"/>
    </font>
    <font>
      <sz val="9"/>
      <name val="Arial Armenian"/>
      <family val="2"/>
    </font>
    <font>
      <sz val="12"/>
      <name val="Arial Armenian"/>
      <family val="2"/>
    </font>
    <font>
      <sz val="10"/>
      <name val="Arial Armenian"/>
      <family val="2"/>
    </font>
    <font>
      <b/>
      <sz val="10"/>
      <name val="Arial Armenian"/>
      <family val="2"/>
    </font>
    <font>
      <b/>
      <sz val="10"/>
      <name val="Arial Armenian"/>
      <family val="2"/>
    </font>
    <font>
      <sz val="8"/>
      <name val="Arial Armenian"/>
      <family val="2"/>
    </font>
    <font>
      <sz val="12"/>
      <name val="Arial Armenian"/>
      <family val="2"/>
    </font>
    <font>
      <sz val="9"/>
      <name val="Times Armenian"/>
      <family val="1"/>
    </font>
    <font>
      <sz val="10"/>
      <color indexed="10"/>
      <name val="Arial Armenian"/>
      <family val="2"/>
    </font>
    <font>
      <b/>
      <sz val="11"/>
      <name val="Arial Armenian"/>
      <family val="2"/>
    </font>
    <font>
      <sz val="11"/>
      <name val="Arial Armenian"/>
      <family val="2"/>
    </font>
    <font>
      <vertAlign val="subscript"/>
      <sz val="9"/>
      <name val="Arial Armenian"/>
      <family val="2"/>
    </font>
    <font>
      <sz val="10"/>
      <name val="Arial LatArm"/>
      <family val="2"/>
    </font>
    <font>
      <b/>
      <sz val="10"/>
      <name val="Arial"/>
      <family val="2"/>
    </font>
    <font>
      <sz val="10"/>
      <name val="Times Armenian"/>
      <family val="1"/>
    </font>
    <font>
      <sz val="10"/>
      <color theme="0"/>
      <name val="Arial Armenian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" fillId="0" borderId="0"/>
  </cellStyleXfs>
  <cellXfs count="214">
    <xf numFmtId="0" fontId="0" fillId="0" borderId="0" xfId="0"/>
    <xf numFmtId="0" fontId="2" fillId="0" borderId="0" xfId="0" applyFont="1" applyFill="1" applyAlignment="1" applyProtection="1"/>
    <xf numFmtId="0" fontId="3" fillId="0" borderId="0" xfId="0" applyFont="1" applyFill="1" applyAlignment="1" applyProtection="1">
      <alignment horizontal="centerContinuous"/>
    </xf>
    <xf numFmtId="0" fontId="4" fillId="0" borderId="0" xfId="0" applyFont="1" applyFill="1" applyAlignment="1" applyProtection="1">
      <alignment horizontal="centerContinuous"/>
    </xf>
    <xf numFmtId="14" fontId="2" fillId="0" borderId="0" xfId="0" applyNumberFormat="1" applyFont="1" applyFill="1" applyBorder="1" applyAlignment="1" applyProtection="1">
      <alignment horizontal="centerContinuous"/>
    </xf>
    <xf numFmtId="0" fontId="4" fillId="0" borderId="0" xfId="0" applyFont="1" applyFill="1" applyProtection="1"/>
    <xf numFmtId="0" fontId="4" fillId="0" borderId="0" xfId="0" applyFont="1" applyProtection="1"/>
    <xf numFmtId="0" fontId="2" fillId="0" borderId="0" xfId="0" applyFont="1" applyFill="1" applyAlignment="1" applyProtection="1">
      <alignment horizontal="right"/>
    </xf>
    <xf numFmtId="14" fontId="2" fillId="0" borderId="1" xfId="0" applyNumberFormat="1" applyFont="1" applyFill="1" applyBorder="1" applyAlignment="1" applyProtection="1">
      <alignment horizontal="right"/>
    </xf>
    <xf numFmtId="0" fontId="2" fillId="0" borderId="0" xfId="0" applyFont="1" applyFill="1" applyAlignment="1" applyProtection="1">
      <alignment horizontal="center"/>
    </xf>
    <xf numFmtId="14" fontId="2" fillId="0" borderId="0" xfId="0" applyNumberFormat="1" applyFont="1" applyFill="1" applyBorder="1" applyAlignment="1" applyProtection="1">
      <alignment horizontal="right"/>
    </xf>
    <xf numFmtId="0" fontId="4" fillId="0" borderId="0" xfId="0" applyFont="1" applyFill="1" applyAlignment="1" applyProtection="1">
      <alignment horizontal="left"/>
    </xf>
    <xf numFmtId="0" fontId="2" fillId="0" borderId="0" xfId="0" applyFont="1" applyFill="1" applyAlignment="1" applyProtection="1">
      <alignment horizontal="left"/>
    </xf>
    <xf numFmtId="0" fontId="0" fillId="0" borderId="0" xfId="0" applyFill="1" applyProtection="1"/>
    <xf numFmtId="0" fontId="5" fillId="0" borderId="0" xfId="0" applyFont="1" applyFill="1" applyAlignment="1" applyProtection="1">
      <alignment horizontal="left"/>
    </xf>
    <xf numFmtId="0" fontId="0" fillId="0" borderId="0" xfId="0" applyFill="1" applyAlignment="1" applyProtection="1">
      <alignment horizontal="centerContinuous"/>
    </xf>
    <xf numFmtId="0" fontId="2" fillId="0" borderId="0" xfId="0" applyFont="1" applyFill="1" applyAlignment="1" applyProtection="1">
      <alignment horizontal="centerContinuous"/>
    </xf>
    <xf numFmtId="0" fontId="2" fillId="0" borderId="0" xfId="0" applyFont="1" applyFill="1"/>
    <xf numFmtId="0" fontId="4" fillId="0" borderId="0" xfId="0" applyFont="1" applyFill="1"/>
    <xf numFmtId="0" fontId="4" fillId="0" borderId="0" xfId="0" applyFont="1"/>
    <xf numFmtId="0" fontId="2" fillId="0" borderId="2" xfId="0" applyFont="1" applyFill="1" applyBorder="1" applyAlignment="1" applyProtection="1">
      <alignment horizontal="center"/>
    </xf>
    <xf numFmtId="3" fontId="2" fillId="0" borderId="3" xfId="0" applyNumberFormat="1" applyFont="1" applyFill="1" applyBorder="1" applyProtection="1">
      <protection locked="0"/>
    </xf>
    <xf numFmtId="3" fontId="2" fillId="0" borderId="3" xfId="0" applyNumberFormat="1" applyFont="1" applyFill="1" applyBorder="1" applyProtection="1"/>
    <xf numFmtId="3" fontId="2" fillId="0" borderId="4" xfId="0" applyNumberFormat="1" applyFont="1" applyFill="1" applyBorder="1" applyAlignment="1" applyProtection="1">
      <alignment horizontal="right"/>
    </xf>
    <xf numFmtId="0" fontId="2" fillId="0" borderId="5" xfId="0" applyFont="1" applyFill="1" applyBorder="1" applyAlignment="1" applyProtection="1">
      <alignment horizontal="center"/>
    </xf>
    <xf numFmtId="0" fontId="2" fillId="0" borderId="6" xfId="0" applyFont="1" applyFill="1" applyBorder="1" applyAlignment="1" applyProtection="1">
      <alignment wrapText="1"/>
    </xf>
    <xf numFmtId="3" fontId="2" fillId="0" borderId="7" xfId="0" applyNumberFormat="1" applyFont="1" applyFill="1" applyBorder="1" applyAlignment="1" applyProtection="1"/>
    <xf numFmtId="0" fontId="0" fillId="0" borderId="0" xfId="0" applyProtection="1"/>
    <xf numFmtId="0" fontId="4" fillId="0" borderId="0" xfId="0" applyFont="1" applyFill="1" applyAlignment="1">
      <alignment horizontal="left"/>
    </xf>
    <xf numFmtId="0" fontId="2" fillId="0" borderId="8" xfId="0" applyFont="1" applyFill="1" applyBorder="1" applyAlignment="1">
      <alignment horizontal="center"/>
    </xf>
    <xf numFmtId="3" fontId="2" fillId="0" borderId="9" xfId="0" applyNumberFormat="1" applyFont="1" applyFill="1" applyBorder="1" applyAlignment="1" applyProtection="1">
      <alignment horizontal="right"/>
      <protection locked="0"/>
    </xf>
    <xf numFmtId="3" fontId="2" fillId="0" borderId="10" xfId="0" applyNumberFormat="1" applyFont="1" applyFill="1" applyBorder="1" applyAlignment="1" applyProtection="1">
      <alignment horizontal="right"/>
      <protection locked="0"/>
    </xf>
    <xf numFmtId="3" fontId="2" fillId="0" borderId="3" xfId="0" applyNumberFormat="1" applyFont="1" applyFill="1" applyBorder="1" applyAlignment="1" applyProtection="1">
      <alignment horizontal="right"/>
      <protection locked="0"/>
    </xf>
    <xf numFmtId="3" fontId="2" fillId="0" borderId="11" xfId="0" applyNumberFormat="1" applyFont="1" applyFill="1" applyBorder="1" applyAlignment="1" applyProtection="1">
      <alignment horizontal="right"/>
      <protection locked="0"/>
    </xf>
    <xf numFmtId="3" fontId="2" fillId="0" borderId="12" xfId="0" applyNumberFormat="1" applyFont="1" applyFill="1" applyBorder="1" applyAlignment="1" applyProtection="1">
      <alignment horizontal="right"/>
      <protection locked="0"/>
    </xf>
    <xf numFmtId="0" fontId="2" fillId="0" borderId="6" xfId="0" applyFont="1" applyFill="1" applyBorder="1" applyAlignment="1">
      <alignment wrapText="1"/>
    </xf>
    <xf numFmtId="3" fontId="2" fillId="0" borderId="13" xfId="0" applyNumberFormat="1" applyFont="1" applyFill="1" applyBorder="1"/>
    <xf numFmtId="3" fontId="2" fillId="0" borderId="7" xfId="0" applyNumberFormat="1" applyFont="1" applyFill="1" applyBorder="1"/>
    <xf numFmtId="0" fontId="2" fillId="0" borderId="0" xfId="0" applyFont="1" applyFill="1" applyBorder="1"/>
    <xf numFmtId="0" fontId="4" fillId="0" borderId="0" xfId="0" quotePrefix="1" applyFont="1" applyFill="1" applyAlignment="1">
      <alignment horizontal="left"/>
    </xf>
    <xf numFmtId="0" fontId="10" fillId="0" borderId="0" xfId="0" applyFont="1" applyFill="1"/>
    <xf numFmtId="4" fontId="10" fillId="0" borderId="0" xfId="0" applyNumberFormat="1" applyFont="1" applyFill="1" applyProtection="1"/>
    <xf numFmtId="0" fontId="10" fillId="0" borderId="0" xfId="0" applyFont="1"/>
    <xf numFmtId="0" fontId="11" fillId="0" borderId="0" xfId="0" applyFont="1" applyAlignment="1">
      <alignment horizontal="centerContinuous"/>
    </xf>
    <xf numFmtId="0" fontId="4" fillId="0" borderId="0" xfId="0" applyFont="1" applyAlignment="1">
      <alignment horizontal="centerContinuous"/>
    </xf>
    <xf numFmtId="0" fontId="12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2" fillId="0" borderId="0" xfId="0" applyFont="1" applyAlignment="1">
      <alignment horizontal="right"/>
    </xf>
    <xf numFmtId="0" fontId="2" fillId="0" borderId="1" xfId="0" applyFont="1" applyBorder="1" applyAlignment="1" applyProtection="1">
      <protection locked="0"/>
    </xf>
    <xf numFmtId="0" fontId="2" fillId="0" borderId="0" xfId="0" applyFont="1"/>
    <xf numFmtId="0" fontId="2" fillId="0" borderId="0" xfId="0" applyFont="1" applyAlignment="1"/>
    <xf numFmtId="14" fontId="2" fillId="0" borderId="1" xfId="0" applyNumberFormat="1" applyFont="1" applyBorder="1" applyAlignment="1" applyProtection="1">
      <alignment horizontal="right"/>
      <protection locked="0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Border="1" applyAlignment="1"/>
    <xf numFmtId="0" fontId="4" fillId="0" borderId="0" xfId="0" applyFont="1" applyAlignment="1">
      <alignment horizontal="right"/>
    </xf>
    <xf numFmtId="0" fontId="2" fillId="0" borderId="14" xfId="0" applyFont="1" applyFill="1" applyBorder="1" applyAlignment="1">
      <alignment horizontal="center"/>
    </xf>
    <xf numFmtId="0" fontId="14" fillId="0" borderId="0" xfId="0" applyFont="1"/>
    <xf numFmtId="0" fontId="4" fillId="0" borderId="0" xfId="0" applyFont="1" applyAlignment="1">
      <alignment horizontal="centerContinuous" wrapText="1"/>
    </xf>
    <xf numFmtId="0" fontId="9" fillId="0" borderId="0" xfId="0" applyFont="1" applyAlignment="1">
      <alignment horizontal="center"/>
    </xf>
    <xf numFmtId="0" fontId="2" fillId="0" borderId="8" xfId="0" applyFont="1" applyBorder="1" applyAlignment="1">
      <alignment horizontal="center"/>
    </xf>
    <xf numFmtId="3" fontId="2" fillId="0" borderId="4" xfId="0" applyNumberFormat="1" applyFont="1" applyBorder="1" applyProtection="1"/>
    <xf numFmtId="0" fontId="2" fillId="0" borderId="15" xfId="0" applyFont="1" applyBorder="1" applyAlignment="1">
      <alignment horizontal="center"/>
    </xf>
    <xf numFmtId="0" fontId="2" fillId="0" borderId="6" xfId="0" applyFont="1" applyBorder="1" applyAlignment="1">
      <alignment wrapText="1"/>
    </xf>
    <xf numFmtId="0" fontId="2" fillId="0" borderId="0" xfId="0" applyFont="1" applyBorder="1"/>
    <xf numFmtId="0" fontId="2" fillId="0" borderId="0" xfId="6" applyFont="1" applyFill="1" applyAlignment="1">
      <alignment horizontal="left"/>
    </xf>
    <xf numFmtId="0" fontId="9" fillId="0" borderId="0" xfId="0" applyFont="1"/>
    <xf numFmtId="0" fontId="9" fillId="0" borderId="0" xfId="0" applyFont="1" applyProtection="1"/>
    <xf numFmtId="0" fontId="2" fillId="0" borderId="0" xfId="6" applyFont="1" applyFill="1"/>
    <xf numFmtId="0" fontId="9" fillId="0" borderId="0" xfId="0" applyFont="1" applyAlignment="1">
      <alignment horizontal="left"/>
    </xf>
    <xf numFmtId="0" fontId="0" fillId="0" borderId="0" xfId="0" applyBorder="1"/>
    <xf numFmtId="0" fontId="4" fillId="0" borderId="0" xfId="0" applyFont="1" applyBorder="1"/>
    <xf numFmtId="0" fontId="10" fillId="0" borderId="0" xfId="0" applyFont="1" applyBorder="1"/>
    <xf numFmtId="0" fontId="2" fillId="0" borderId="0" xfId="0" applyFont="1" applyFill="1" applyAlignment="1">
      <alignment horizontal="right"/>
    </xf>
    <xf numFmtId="0" fontId="2" fillId="0" borderId="0" xfId="0" applyFont="1" applyFill="1" applyAlignment="1">
      <alignment horizontal="right" vertical="top"/>
    </xf>
    <xf numFmtId="0" fontId="2" fillId="0" borderId="16" xfId="0" applyFont="1" applyBorder="1" applyAlignment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Alignment="1">
      <alignment horizontal="centerContinuous" vertical="center" wrapText="1"/>
    </xf>
    <xf numFmtId="0" fontId="2" fillId="0" borderId="19" xfId="0" applyFont="1" applyBorder="1" applyAlignment="1">
      <alignment horizontal="centerContinuous" vertical="center" wrapText="1"/>
    </xf>
    <xf numFmtId="0" fontId="2" fillId="0" borderId="20" xfId="0" applyFont="1" applyBorder="1" applyAlignment="1">
      <alignment horizontal="centerContinuous" vertical="center" wrapText="1"/>
    </xf>
    <xf numFmtId="3" fontId="2" fillId="0" borderId="21" xfId="0" applyNumberFormat="1" applyFont="1" applyBorder="1" applyAlignment="1">
      <alignment wrapText="1"/>
    </xf>
    <xf numFmtId="3" fontId="2" fillId="0" borderId="22" xfId="0" applyNumberFormat="1" applyFont="1" applyBorder="1" applyAlignment="1">
      <alignment wrapText="1"/>
    </xf>
    <xf numFmtId="0" fontId="2" fillId="2" borderId="23" xfId="0" applyFont="1" applyFill="1" applyBorder="1" applyAlignment="1">
      <alignment horizontal="centerContinuous"/>
    </xf>
    <xf numFmtId="0" fontId="2" fillId="2" borderId="13" xfId="0" applyFont="1" applyFill="1" applyBorder="1" applyAlignment="1">
      <alignment horizontal="centerContinuous"/>
    </xf>
    <xf numFmtId="0" fontId="2" fillId="2" borderId="7" xfId="0" applyFont="1" applyFill="1" applyBorder="1" applyAlignment="1">
      <alignment horizontal="centerContinuous"/>
    </xf>
    <xf numFmtId="0" fontId="2" fillId="0" borderId="24" xfId="0" quotePrefix="1" applyFont="1" applyFill="1" applyBorder="1" applyAlignment="1">
      <alignment horizontal="center" vertical="center" wrapText="1"/>
    </xf>
    <xf numFmtId="0" fontId="2" fillId="0" borderId="24" xfId="0" quotePrefix="1" applyFont="1" applyFill="1" applyBorder="1" applyAlignment="1">
      <alignment horizontal="center" vertical="top" wrapText="1"/>
    </xf>
    <xf numFmtId="0" fontId="2" fillId="0" borderId="25" xfId="0" quotePrefix="1" applyFont="1" applyFill="1" applyBorder="1" applyAlignment="1">
      <alignment horizontal="center" vertical="center" wrapText="1"/>
    </xf>
    <xf numFmtId="0" fontId="2" fillId="2" borderId="23" xfId="0" applyFont="1" applyFill="1" applyBorder="1" applyAlignment="1" applyProtection="1">
      <alignment horizontal="centerContinuous"/>
    </xf>
    <xf numFmtId="0" fontId="2" fillId="2" borderId="26" xfId="0" applyFont="1" applyFill="1" applyBorder="1" applyAlignment="1" applyProtection="1">
      <alignment horizontal="centerContinuous"/>
    </xf>
    <xf numFmtId="0" fontId="2" fillId="2" borderId="26" xfId="0" applyFont="1" applyFill="1" applyBorder="1" applyAlignment="1" applyProtection="1">
      <alignment horizontal="center"/>
    </xf>
    <xf numFmtId="0" fontId="2" fillId="2" borderId="7" xfId="0" applyFont="1" applyFill="1" applyBorder="1" applyAlignment="1" applyProtection="1">
      <alignment horizontal="centerContinuous"/>
    </xf>
    <xf numFmtId="0" fontId="2" fillId="0" borderId="27" xfId="0" applyFont="1" applyFill="1" applyBorder="1" applyAlignment="1">
      <alignment horizontal="center"/>
    </xf>
    <xf numFmtId="3" fontId="2" fillId="0" borderId="28" xfId="0" applyNumberFormat="1" applyFont="1" applyFill="1" applyBorder="1" applyAlignment="1" applyProtection="1">
      <alignment horizontal="right"/>
      <protection locked="0"/>
    </xf>
    <xf numFmtId="3" fontId="2" fillId="0" borderId="29" xfId="0" applyNumberFormat="1" applyFont="1" applyFill="1" applyBorder="1" applyAlignment="1" applyProtection="1">
      <alignment horizontal="right"/>
      <protection locked="0"/>
    </xf>
    <xf numFmtId="3" fontId="2" fillId="0" borderId="30" xfId="0" applyNumberFormat="1" applyFont="1" applyFill="1" applyBorder="1" applyAlignment="1" applyProtection="1">
      <alignment horizontal="right"/>
      <protection locked="0"/>
    </xf>
    <xf numFmtId="9" fontId="2" fillId="0" borderId="25" xfId="0" applyNumberFormat="1" applyFont="1" applyFill="1" applyBorder="1" applyAlignment="1" applyProtection="1">
      <alignment horizontal="center" vertical="center" wrapText="1"/>
    </xf>
    <xf numFmtId="0" fontId="0" fillId="0" borderId="0" xfId="0" applyBorder="1" applyProtection="1"/>
    <xf numFmtId="0" fontId="8" fillId="0" borderId="0" xfId="0" applyFont="1" applyFill="1" applyAlignment="1" applyProtection="1">
      <alignment horizontal="centerContinuous"/>
    </xf>
    <xf numFmtId="0" fontId="4" fillId="0" borderId="31" xfId="0" applyFont="1" applyFill="1" applyBorder="1" applyAlignment="1" applyProtection="1">
      <alignment horizontal="center"/>
    </xf>
    <xf numFmtId="0" fontId="4" fillId="0" borderId="0" xfId="0" applyFont="1" applyFill="1" applyBorder="1" applyAlignment="1" applyProtection="1">
      <alignment horizontal="center"/>
    </xf>
    <xf numFmtId="49" fontId="2" fillId="0" borderId="14" xfId="0" quotePrefix="1" applyNumberFormat="1" applyFont="1" applyFill="1" applyBorder="1" applyAlignment="1" applyProtection="1">
      <alignment horizontal="center" vertical="center" wrapText="1"/>
    </xf>
    <xf numFmtId="9" fontId="2" fillId="0" borderId="24" xfId="0" quotePrefix="1" applyNumberFormat="1" applyFont="1" applyFill="1" applyBorder="1" applyAlignment="1" applyProtection="1">
      <alignment horizontal="center" vertical="center" wrapText="1"/>
    </xf>
    <xf numFmtId="9" fontId="2" fillId="0" borderId="24" xfId="0" applyNumberFormat="1" applyFont="1" applyFill="1" applyBorder="1" applyAlignment="1" applyProtection="1">
      <alignment horizontal="center" vertical="center" wrapText="1"/>
    </xf>
    <xf numFmtId="0" fontId="2" fillId="2" borderId="23" xfId="0" applyFont="1" applyFill="1" applyBorder="1" applyAlignment="1" applyProtection="1">
      <alignment horizontal="center"/>
    </xf>
    <xf numFmtId="3" fontId="2" fillId="2" borderId="13" xfId="0" applyNumberFormat="1" applyFont="1" applyFill="1" applyBorder="1" applyAlignment="1" applyProtection="1">
      <alignment horizontal="center"/>
    </xf>
    <xf numFmtId="3" fontId="2" fillId="2" borderId="7" xfId="0" applyNumberFormat="1" applyFont="1" applyFill="1" applyBorder="1" applyAlignment="1" applyProtection="1">
      <alignment horizontal="center"/>
    </xf>
    <xf numFmtId="14" fontId="2" fillId="0" borderId="0" xfId="0" applyNumberFormat="1" applyFont="1" applyBorder="1" applyAlignment="1" applyProtection="1">
      <alignment horizontal="right"/>
    </xf>
    <xf numFmtId="49" fontId="2" fillId="0" borderId="14" xfId="0" quotePrefix="1" applyNumberFormat="1" applyFont="1" applyBorder="1" applyAlignment="1">
      <alignment horizontal="center" vertical="center" wrapText="1"/>
    </xf>
    <xf numFmtId="9" fontId="2" fillId="0" borderId="24" xfId="0" applyNumberFormat="1" applyFont="1" applyBorder="1" applyAlignment="1">
      <alignment horizontal="center" vertical="center" wrapText="1"/>
    </xf>
    <xf numFmtId="9" fontId="2" fillId="0" borderId="25" xfId="0" applyNumberFormat="1" applyFont="1" applyBorder="1" applyAlignment="1" applyProtection="1">
      <alignment horizontal="center" vertical="center" wrapText="1"/>
    </xf>
    <xf numFmtId="0" fontId="0" fillId="2" borderId="13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2" fillId="0" borderId="1" xfId="0" applyFont="1" applyBorder="1" applyProtection="1">
      <protection locked="0"/>
    </xf>
    <xf numFmtId="0" fontId="6" fillId="0" borderId="0" xfId="0" applyFont="1" applyAlignment="1">
      <alignment horizontal="centerContinuous"/>
    </xf>
    <xf numFmtId="3" fontId="2" fillId="0" borderId="13" xfId="0" applyNumberFormat="1" applyFont="1" applyBorder="1" applyProtection="1"/>
    <xf numFmtId="3" fontId="2" fillId="0" borderId="32" xfId="0" applyNumberFormat="1" applyFont="1" applyBorder="1" applyProtection="1">
      <protection locked="0"/>
    </xf>
    <xf numFmtId="3" fontId="2" fillId="0" borderId="10" xfId="0" applyNumberFormat="1" applyFont="1" applyBorder="1" applyProtection="1">
      <protection locked="0"/>
    </xf>
    <xf numFmtId="3" fontId="2" fillId="0" borderId="24" xfId="0" applyNumberFormat="1" applyFont="1" applyBorder="1" applyProtection="1">
      <protection locked="0"/>
    </xf>
    <xf numFmtId="3" fontId="2" fillId="0" borderId="13" xfId="0" applyNumberFormat="1" applyFont="1" applyFill="1" applyBorder="1" applyAlignment="1" applyProtection="1"/>
    <xf numFmtId="0" fontId="4" fillId="0" borderId="0" xfId="0" applyFont="1" applyBorder="1" applyAlignment="1">
      <alignment wrapText="1"/>
    </xf>
    <xf numFmtId="0" fontId="4" fillId="0" borderId="0" xfId="0" applyFont="1" applyFill="1" applyBorder="1" applyAlignment="1">
      <alignment wrapText="1"/>
    </xf>
    <xf numFmtId="0" fontId="2" fillId="2" borderId="7" xfId="0" applyFont="1" applyFill="1" applyBorder="1" applyAlignment="1">
      <alignment horizontal="centerContinuous" wrapText="1"/>
    </xf>
    <xf numFmtId="0" fontId="4" fillId="0" borderId="0" xfId="0" applyFont="1" applyAlignment="1"/>
    <xf numFmtId="173" fontId="2" fillId="0" borderId="33" xfId="0" applyNumberFormat="1" applyFont="1" applyBorder="1" applyAlignment="1" applyProtection="1">
      <alignment wrapText="1"/>
    </xf>
    <xf numFmtId="173" fontId="2" fillId="0" borderId="16" xfId="0" applyNumberFormat="1" applyFont="1" applyBorder="1" applyAlignment="1" applyProtection="1">
      <alignment wrapText="1"/>
    </xf>
    <xf numFmtId="173" fontId="2" fillId="0" borderId="17" xfId="0" applyNumberFormat="1" applyFont="1" applyBorder="1" applyAlignment="1" applyProtection="1">
      <alignment wrapText="1"/>
    </xf>
    <xf numFmtId="173" fontId="2" fillId="0" borderId="34" xfId="0" applyNumberFormat="1" applyFont="1" applyBorder="1" applyAlignment="1"/>
    <xf numFmtId="0" fontId="3" fillId="0" borderId="0" xfId="0" applyFont="1" applyFill="1" applyAlignment="1" applyProtection="1">
      <alignment horizontal="center"/>
    </xf>
    <xf numFmtId="49" fontId="4" fillId="2" borderId="35" xfId="2" applyNumberFormat="1" applyFont="1" applyFill="1" applyBorder="1" applyAlignment="1">
      <alignment horizontal="center"/>
    </xf>
    <xf numFmtId="0" fontId="4" fillId="0" borderId="36" xfId="2" applyFont="1" applyBorder="1" applyAlignment="1">
      <alignment horizontal="center" vertical="center"/>
    </xf>
    <xf numFmtId="0" fontId="2" fillId="0" borderId="37" xfId="0" applyFont="1" applyBorder="1" applyAlignment="1" applyProtection="1">
      <alignment wrapText="1"/>
      <protection locked="0"/>
    </xf>
    <xf numFmtId="0" fontId="4" fillId="0" borderId="7" xfId="2" applyFont="1" applyFill="1" applyBorder="1" applyProtection="1">
      <protection locked="0"/>
    </xf>
    <xf numFmtId="0" fontId="2" fillId="2" borderId="36" xfId="3" applyFont="1" applyFill="1" applyBorder="1" applyAlignment="1" applyProtection="1">
      <alignment horizontal="center" vertical="center" wrapText="1"/>
    </xf>
    <xf numFmtId="0" fontId="2" fillId="0" borderId="8" xfId="3" applyFont="1" applyBorder="1" applyAlignment="1" applyProtection="1">
      <alignment horizontal="center"/>
    </xf>
    <xf numFmtId="0" fontId="11" fillId="0" borderId="0" xfId="4" applyFont="1" applyFill="1" applyAlignment="1">
      <alignment horizontal="centerContinuous"/>
    </xf>
    <xf numFmtId="0" fontId="5" fillId="2" borderId="36" xfId="3" applyFont="1" applyFill="1" applyBorder="1" applyAlignment="1">
      <alignment horizontal="center" vertical="center"/>
    </xf>
    <xf numFmtId="0" fontId="2" fillId="0" borderId="38" xfId="3" applyFont="1" applyBorder="1" applyAlignment="1" applyProtection="1">
      <alignment horizontal="center"/>
    </xf>
    <xf numFmtId="3" fontId="4" fillId="0" borderId="32" xfId="3" applyNumberFormat="1" applyFont="1" applyBorder="1" applyProtection="1">
      <protection locked="0"/>
    </xf>
    <xf numFmtId="3" fontId="4" fillId="0" borderId="32" xfId="3" applyNumberFormat="1" applyFont="1" applyBorder="1"/>
    <xf numFmtId="3" fontId="4" fillId="0" borderId="39" xfId="3" applyNumberFormat="1" applyFont="1" applyBorder="1"/>
    <xf numFmtId="3" fontId="4" fillId="0" borderId="10" xfId="3" applyNumberFormat="1" applyFont="1" applyBorder="1" applyProtection="1">
      <protection locked="0"/>
    </xf>
    <xf numFmtId="3" fontId="4" fillId="0" borderId="10" xfId="3" applyNumberFormat="1" applyFont="1" applyBorder="1"/>
    <xf numFmtId="3" fontId="4" fillId="0" borderId="40" xfId="3" applyNumberFormat="1" applyFont="1" applyBorder="1"/>
    <xf numFmtId="0" fontId="2" fillId="0" borderId="14" xfId="3" applyFont="1" applyBorder="1" applyAlignment="1" applyProtection="1">
      <alignment horizontal="center"/>
    </xf>
    <xf numFmtId="3" fontId="4" fillId="0" borderId="24" xfId="3" applyNumberFormat="1" applyFont="1" applyBorder="1" applyProtection="1">
      <protection locked="0"/>
    </xf>
    <xf numFmtId="3" fontId="4" fillId="0" borderId="24" xfId="3" applyNumberFormat="1" applyFont="1" applyBorder="1"/>
    <xf numFmtId="0" fontId="2" fillId="0" borderId="6" xfId="3" applyFont="1" applyFill="1" applyBorder="1" applyAlignment="1" applyProtection="1"/>
    <xf numFmtId="3" fontId="2" fillId="0" borderId="41" xfId="3" applyNumberFormat="1" applyFont="1" applyFill="1" applyBorder="1" applyAlignment="1" applyProtection="1">
      <alignment wrapText="1"/>
    </xf>
    <xf numFmtId="3" fontId="2" fillId="0" borderId="42" xfId="3" applyNumberFormat="1" applyFont="1" applyFill="1" applyBorder="1" applyAlignment="1" applyProtection="1">
      <alignment wrapText="1"/>
    </xf>
    <xf numFmtId="0" fontId="2" fillId="2" borderId="36" xfId="5" applyFont="1" applyFill="1" applyBorder="1" applyAlignment="1" applyProtection="1">
      <alignment horizontal="center" vertical="center" wrapText="1"/>
    </xf>
    <xf numFmtId="0" fontId="2" fillId="0" borderId="43" xfId="5" applyFont="1" applyBorder="1" applyAlignment="1" applyProtection="1">
      <alignment horizontal="center"/>
    </xf>
    <xf numFmtId="0" fontId="2" fillId="0" borderId="8" xfId="5" applyFont="1" applyBorder="1" applyAlignment="1" applyProtection="1">
      <alignment horizontal="center"/>
    </xf>
    <xf numFmtId="0" fontId="2" fillId="0" borderId="15" xfId="5" applyFont="1" applyBorder="1" applyAlignment="1" applyProtection="1">
      <alignment horizontal="center"/>
    </xf>
    <xf numFmtId="0" fontId="2" fillId="0" borderId="36" xfId="5" applyFont="1" applyBorder="1" applyAlignment="1" applyProtection="1">
      <alignment wrapText="1"/>
    </xf>
    <xf numFmtId="3" fontId="2" fillId="0" borderId="7" xfId="1" applyNumberFormat="1" applyFont="1" applyBorder="1" applyAlignment="1" applyProtection="1">
      <alignment horizontal="center"/>
    </xf>
    <xf numFmtId="0" fontId="5" fillId="2" borderId="36" xfId="5" applyFont="1" applyFill="1" applyBorder="1" applyAlignment="1">
      <alignment horizontal="center" vertical="center"/>
    </xf>
    <xf numFmtId="0" fontId="5" fillId="2" borderId="42" xfId="5" applyFont="1" applyFill="1" applyBorder="1" applyAlignment="1">
      <alignment horizontal="center" vertical="center"/>
    </xf>
    <xf numFmtId="3" fontId="4" fillId="0" borderId="40" xfId="5" applyNumberFormat="1" applyFont="1" applyBorder="1" applyProtection="1">
      <protection locked="0"/>
    </xf>
    <xf numFmtId="4" fontId="4" fillId="0" borderId="42" xfId="5" applyNumberFormat="1" applyFont="1" applyBorder="1" applyAlignment="1">
      <alignment horizontal="center"/>
    </xf>
    <xf numFmtId="3" fontId="4" fillId="0" borderId="36" xfId="5" applyNumberFormat="1" applyFont="1" applyBorder="1" applyAlignment="1" applyProtection="1">
      <alignment horizontal="center"/>
      <protection locked="0"/>
    </xf>
    <xf numFmtId="4" fontId="4" fillId="0" borderId="36" xfId="5" applyNumberFormat="1" applyFont="1" applyBorder="1" applyAlignment="1">
      <alignment horizontal="center"/>
    </xf>
    <xf numFmtId="3" fontId="4" fillId="0" borderId="36" xfId="5" applyNumberFormat="1" applyFont="1" applyBorder="1"/>
    <xf numFmtId="3" fontId="4" fillId="0" borderId="0" xfId="5" applyNumberFormat="1" applyFont="1"/>
    <xf numFmtId="0" fontId="4" fillId="0" borderId="0" xfId="5" applyFont="1" applyFill="1" applyAlignment="1">
      <alignment horizontal="right"/>
    </xf>
    <xf numFmtId="3" fontId="2" fillId="0" borderId="44" xfId="0" applyNumberFormat="1" applyFont="1" applyFill="1" applyBorder="1" applyAlignment="1" applyProtection="1">
      <alignment horizontal="right"/>
    </xf>
    <xf numFmtId="3" fontId="2" fillId="0" borderId="28" xfId="0" applyNumberFormat="1" applyFont="1" applyBorder="1" applyProtection="1">
      <protection locked="0"/>
    </xf>
    <xf numFmtId="3" fontId="2" fillId="0" borderId="3" xfId="0" applyNumberFormat="1" applyFont="1" applyBorder="1" applyProtection="1">
      <protection locked="0"/>
    </xf>
    <xf numFmtId="0" fontId="17" fillId="0" borderId="0" xfId="0" applyFont="1"/>
    <xf numFmtId="3" fontId="2" fillId="0" borderId="7" xfId="0" applyNumberFormat="1" applyFont="1" applyBorder="1" applyProtection="1"/>
    <xf numFmtId="0" fontId="4" fillId="0" borderId="0" xfId="0" applyFont="1" applyAlignment="1">
      <alignment horizontal="right" wrapText="1"/>
    </xf>
    <xf numFmtId="0" fontId="2" fillId="0" borderId="18" xfId="0" applyFont="1" applyBorder="1" applyAlignment="1">
      <alignment horizontal="center" vertical="center" wrapText="1"/>
    </xf>
    <xf numFmtId="0" fontId="2" fillId="0" borderId="4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46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horizontal="center" vertical="center" wrapText="1"/>
    </xf>
    <xf numFmtId="0" fontId="2" fillId="0" borderId="32" xfId="0" applyFont="1" applyFill="1" applyBorder="1" applyAlignment="1">
      <alignment horizontal="center" vertical="center" wrapText="1"/>
    </xf>
    <xf numFmtId="0" fontId="2" fillId="0" borderId="39" xfId="0" applyFont="1" applyFill="1" applyBorder="1" applyAlignment="1">
      <alignment horizontal="center" vertical="center" wrapText="1"/>
    </xf>
    <xf numFmtId="0" fontId="2" fillId="0" borderId="32" xfId="0" quotePrefix="1" applyFont="1" applyFill="1" applyBorder="1" applyAlignment="1">
      <alignment horizontal="center" vertical="center" wrapText="1"/>
    </xf>
    <xf numFmtId="0" fontId="0" fillId="0" borderId="24" xfId="0" applyBorder="1" applyAlignment="1"/>
    <xf numFmtId="0" fontId="2" fillId="0" borderId="32" xfId="0" quotePrefix="1" applyFont="1" applyBorder="1" applyAlignment="1">
      <alignment horizontal="center" vertical="center" wrapText="1"/>
    </xf>
    <xf numFmtId="0" fontId="2" fillId="0" borderId="38" xfId="0" applyFont="1" applyFill="1" applyBorder="1" applyAlignment="1" applyProtection="1">
      <alignment horizontal="center" vertical="center" wrapText="1"/>
    </xf>
    <xf numFmtId="0" fontId="2" fillId="0" borderId="14" xfId="0" applyFont="1" applyFill="1" applyBorder="1" applyAlignment="1" applyProtection="1">
      <alignment horizontal="center" vertical="center" wrapText="1"/>
    </xf>
    <xf numFmtId="0" fontId="2" fillId="0" borderId="24" xfId="0" applyFont="1" applyFill="1" applyBorder="1" applyAlignment="1">
      <alignment horizontal="center" vertical="center" wrapText="1"/>
    </xf>
    <xf numFmtId="0" fontId="3" fillId="0" borderId="0" xfId="0" applyFont="1" applyFill="1" applyAlignment="1" applyProtection="1">
      <alignment horizontal="center"/>
    </xf>
    <xf numFmtId="0" fontId="8" fillId="0" borderId="0" xfId="0" applyFont="1" applyFill="1" applyAlignment="1" applyProtection="1">
      <alignment horizontal="center"/>
    </xf>
    <xf numFmtId="0" fontId="6" fillId="0" borderId="47" xfId="0" applyFont="1" applyFill="1" applyBorder="1" applyAlignment="1" applyProtection="1">
      <alignment horizontal="center" vertical="center"/>
    </xf>
    <xf numFmtId="0" fontId="2" fillId="0" borderId="38" xfId="0" applyFont="1" applyBorder="1" applyAlignment="1" applyProtection="1">
      <alignment horizontal="center" vertical="center" wrapText="1"/>
    </xf>
    <xf numFmtId="0" fontId="2" fillId="0" borderId="32" xfId="0" applyFont="1" applyBorder="1" applyAlignment="1" applyProtection="1">
      <alignment horizontal="center" vertical="center" wrapText="1"/>
    </xf>
    <xf numFmtId="0" fontId="2" fillId="0" borderId="48" xfId="0" applyFont="1" applyBorder="1" applyAlignment="1" applyProtection="1">
      <alignment horizontal="center" vertical="center" wrapText="1"/>
    </xf>
    <xf numFmtId="0" fontId="2" fillId="0" borderId="39" xfId="0" applyFont="1" applyBorder="1" applyAlignment="1" applyProtection="1">
      <alignment horizontal="center" vertical="center" wrapText="1"/>
    </xf>
    <xf numFmtId="0" fontId="6" fillId="0" borderId="49" xfId="0" applyFont="1" applyBorder="1" applyAlignment="1">
      <alignment horizontal="center"/>
    </xf>
    <xf numFmtId="0" fontId="15" fillId="0" borderId="50" xfId="0" applyFont="1" applyBorder="1" applyAlignment="1"/>
    <xf numFmtId="0" fontId="15" fillId="0" borderId="34" xfId="0" applyFont="1" applyBorder="1" applyAlignment="1"/>
    <xf numFmtId="0" fontId="2" fillId="0" borderId="38" xfId="0" applyFont="1" applyBorder="1" applyAlignment="1">
      <alignment horizontal="center" vertical="center" wrapText="1"/>
    </xf>
    <xf numFmtId="0" fontId="0" fillId="0" borderId="32" xfId="0" applyBorder="1" applyAlignment="1"/>
    <xf numFmtId="0" fontId="0" fillId="0" borderId="48" xfId="0" applyBorder="1" applyAlignment="1"/>
    <xf numFmtId="0" fontId="0" fillId="0" borderId="39" xfId="0" applyBorder="1" applyAlignment="1"/>
    <xf numFmtId="0" fontId="3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3" fillId="0" borderId="6" xfId="3" applyFont="1" applyBorder="1" applyAlignment="1">
      <alignment horizontal="center" wrapText="1" shrinkToFit="1"/>
    </xf>
    <xf numFmtId="0" fontId="3" fillId="0" borderId="41" xfId="3" applyFont="1" applyBorder="1" applyAlignment="1">
      <alignment horizontal="center" wrapText="1" shrinkToFit="1"/>
    </xf>
    <xf numFmtId="0" fontId="3" fillId="0" borderId="42" xfId="3" applyFont="1" applyBorder="1" applyAlignment="1">
      <alignment horizontal="center" wrapText="1" shrinkToFit="1"/>
    </xf>
    <xf numFmtId="0" fontId="2" fillId="0" borderId="35" xfId="3" applyFont="1" applyBorder="1" applyAlignment="1" applyProtection="1">
      <alignment horizontal="center" vertical="center" wrapText="1"/>
    </xf>
    <xf numFmtId="0" fontId="4" fillId="0" borderId="50" xfId="3" applyFont="1" applyBorder="1"/>
    <xf numFmtId="0" fontId="4" fillId="0" borderId="35" xfId="3" applyFont="1" applyFill="1" applyBorder="1" applyAlignment="1">
      <alignment horizontal="center" vertical="center" wrapText="1"/>
    </xf>
    <xf numFmtId="0" fontId="4" fillId="0" borderId="50" xfId="3" applyFont="1" applyFill="1" applyBorder="1" applyAlignment="1">
      <alignment horizontal="center" vertical="center" wrapText="1"/>
    </xf>
    <xf numFmtId="0" fontId="3" fillId="0" borderId="36" xfId="5" applyFont="1" applyBorder="1" applyAlignment="1">
      <alignment horizontal="center" vertical="center" wrapText="1"/>
    </xf>
    <xf numFmtId="0" fontId="2" fillId="0" borderId="36" xfId="5" applyFont="1" applyBorder="1" applyAlignment="1" applyProtection="1">
      <alignment horizontal="center" vertical="center" wrapText="1"/>
    </xf>
    <xf numFmtId="0" fontId="2" fillId="0" borderId="36" xfId="5" quotePrefix="1" applyFont="1" applyBorder="1" applyAlignment="1" applyProtection="1">
      <alignment horizontal="center" vertical="center" wrapText="1"/>
    </xf>
    <xf numFmtId="0" fontId="3" fillId="0" borderId="42" xfId="5" applyFont="1" applyBorder="1" applyAlignment="1">
      <alignment horizontal="center" vertical="center" wrapText="1"/>
    </xf>
    <xf numFmtId="0" fontId="3" fillId="0" borderId="35" xfId="5" applyFont="1" applyBorder="1" applyAlignment="1">
      <alignment horizontal="center" vertical="center" wrapText="1"/>
    </xf>
    <xf numFmtId="0" fontId="3" fillId="0" borderId="50" xfId="5" applyFont="1" applyBorder="1" applyAlignment="1">
      <alignment horizontal="center" vertical="center" wrapText="1"/>
    </xf>
  </cellXfs>
  <cellStyles count="7">
    <cellStyle name="Comma 7" xfId="1"/>
    <cellStyle name="Normal" xfId="0" builtinId="0"/>
    <cellStyle name="Normal 2" xfId="2"/>
    <cellStyle name="Normal 3" xfId="3"/>
    <cellStyle name="Normal 6" xfId="4"/>
    <cellStyle name="Normal 7" xfId="5"/>
    <cellStyle name="Normal_Sheet3" xfId="6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J51"/>
  <sheetViews>
    <sheetView showGridLines="0" tabSelected="1" topLeftCell="A13" zoomScaleNormal="100" workbookViewId="0">
      <selection activeCell="D14" sqref="D14"/>
    </sheetView>
  </sheetViews>
  <sheetFormatPr defaultRowHeight="12.75"/>
  <cols>
    <col min="1" max="1" width="9.140625" style="19"/>
    <col min="2" max="2" width="17.140625" style="19" customWidth="1"/>
    <col min="3" max="3" width="13.140625" style="19" customWidth="1"/>
    <col min="4" max="4" width="16.85546875" style="19" customWidth="1"/>
    <col min="5" max="5" width="15" style="19" customWidth="1"/>
    <col min="6" max="6" width="14.5703125" style="19" customWidth="1"/>
    <col min="7" max="7" width="14.140625" style="19" customWidth="1"/>
    <col min="8" max="9" width="16" style="19" customWidth="1"/>
    <col min="10" max="10" width="15.85546875" style="19" customWidth="1"/>
    <col min="11" max="16384" width="9.140625" style="19"/>
  </cols>
  <sheetData>
    <row r="1" spans="1:10">
      <c r="A1" s="168" t="s">
        <v>80</v>
      </c>
      <c r="F1" s="6"/>
      <c r="G1" s="49"/>
      <c r="I1" s="55" t="s">
        <v>50</v>
      </c>
    </row>
    <row r="2" spans="1:10">
      <c r="F2" s="6"/>
      <c r="G2" s="49"/>
    </row>
    <row r="3" spans="1:10" ht="12.75" customHeight="1">
      <c r="F3" s="170" t="s">
        <v>51</v>
      </c>
      <c r="G3" s="170"/>
      <c r="H3" s="170"/>
      <c r="I3" s="170"/>
    </row>
    <row r="4" spans="1:10">
      <c r="F4" s="170"/>
      <c r="G4" s="170"/>
      <c r="H4" s="170"/>
      <c r="I4" s="170"/>
    </row>
    <row r="5" spans="1:10">
      <c r="F5" s="6"/>
      <c r="G5" s="123"/>
      <c r="H5" s="123"/>
      <c r="I5" s="123"/>
    </row>
    <row r="6" spans="1:10">
      <c r="F6" s="6"/>
      <c r="G6" s="55"/>
      <c r="H6" s="55"/>
      <c r="I6" s="55"/>
    </row>
    <row r="7" spans="1:10" ht="15">
      <c r="B7" s="43" t="s">
        <v>26</v>
      </c>
      <c r="C7" s="44"/>
      <c r="D7" s="44"/>
      <c r="E7" s="45"/>
      <c r="F7" s="45"/>
      <c r="G7" s="44"/>
      <c r="H7" s="44"/>
      <c r="I7" s="46" t="s">
        <v>25</v>
      </c>
      <c r="J7"/>
    </row>
    <row r="8" spans="1:10">
      <c r="B8" s="114" t="s">
        <v>45</v>
      </c>
      <c r="C8" s="58"/>
      <c r="D8" s="44"/>
      <c r="E8" s="44"/>
      <c r="F8" s="44"/>
      <c r="G8" s="44"/>
      <c r="H8" s="44"/>
      <c r="I8" s="46"/>
      <c r="J8"/>
    </row>
    <row r="9" spans="1:10">
      <c r="B9" s="114"/>
      <c r="C9" s="58"/>
      <c r="D9" s="44"/>
      <c r="E9" s="44"/>
      <c r="F9" s="44"/>
      <c r="G9" s="44"/>
      <c r="H9" s="44"/>
      <c r="I9" s="46"/>
      <c r="J9"/>
    </row>
    <row r="10" spans="1:10">
      <c r="C10" s="47" t="s">
        <v>24</v>
      </c>
      <c r="D10" s="48"/>
      <c r="E10" s="50"/>
      <c r="F10" s="50"/>
      <c r="G10" s="50"/>
      <c r="H10" s="50"/>
      <c r="I10" s="50"/>
    </row>
    <row r="11" spans="1:10">
      <c r="C11" s="47" t="s">
        <v>1</v>
      </c>
      <c r="D11" s="51"/>
      <c r="E11" s="52" t="s">
        <v>2</v>
      </c>
      <c r="F11" s="51"/>
      <c r="G11" s="53" t="s">
        <v>3</v>
      </c>
      <c r="H11" s="50"/>
    </row>
    <row r="12" spans="1:10">
      <c r="B12" s="50"/>
      <c r="C12" s="50"/>
      <c r="D12" s="54"/>
      <c r="E12" s="54"/>
      <c r="F12" s="50"/>
      <c r="G12" s="50"/>
      <c r="J12"/>
    </row>
    <row r="13" spans="1:10">
      <c r="B13" s="50"/>
      <c r="C13" s="50"/>
      <c r="D13" s="54"/>
      <c r="E13" s="55" t="s">
        <v>4</v>
      </c>
      <c r="F13" s="50"/>
      <c r="G13" s="50"/>
      <c r="H13" s="55"/>
      <c r="J13"/>
    </row>
    <row r="14" spans="1:10" ht="24">
      <c r="B14" s="77" t="s">
        <v>18</v>
      </c>
      <c r="C14" s="78" t="s">
        <v>27</v>
      </c>
      <c r="D14" s="79" t="s">
        <v>19</v>
      </c>
      <c r="E14" s="130" t="s">
        <v>52</v>
      </c>
    </row>
    <row r="15" spans="1:10">
      <c r="B15" s="82">
        <v>1</v>
      </c>
      <c r="C15" s="83">
        <v>2</v>
      </c>
      <c r="D15" s="84">
        <v>3</v>
      </c>
      <c r="E15" s="129">
        <v>4</v>
      </c>
    </row>
    <row r="16" spans="1:10" ht="14.25" customHeight="1">
      <c r="B16" s="80">
        <f>Sheet2!K40</f>
        <v>0</v>
      </c>
      <c r="C16" s="81">
        <f>Sheet3!V39+Sheet4!V39+E16*Sheet5!F39+E16*Sheet6!F10</f>
        <v>0</v>
      </c>
      <c r="D16" s="131"/>
      <c r="E16" s="132"/>
    </row>
    <row r="17" spans="2:9">
      <c r="C17" s="54"/>
      <c r="D17" s="75"/>
      <c r="G17" s="54"/>
    </row>
    <row r="18" spans="2:9">
      <c r="C18" s="54"/>
      <c r="D18" s="75"/>
      <c r="G18" s="54"/>
    </row>
    <row r="19" spans="2:9">
      <c r="C19" s="54"/>
      <c r="D19" s="75"/>
      <c r="G19" s="54"/>
    </row>
    <row r="20" spans="2:9">
      <c r="C20" s="54"/>
      <c r="D20" s="75"/>
      <c r="G20" s="54"/>
    </row>
    <row r="21" spans="2:9">
      <c r="C21" s="54"/>
      <c r="D21" s="75"/>
      <c r="G21" s="54"/>
    </row>
    <row r="22" spans="2:9">
      <c r="C22" s="54"/>
      <c r="D22" s="75"/>
      <c r="G22" s="54"/>
    </row>
    <row r="23" spans="2:9">
      <c r="C23" s="54"/>
      <c r="D23" s="75"/>
      <c r="G23" s="54"/>
    </row>
    <row r="24" spans="2:9">
      <c r="C24" s="54"/>
      <c r="D24" s="75"/>
      <c r="G24" s="54"/>
    </row>
    <row r="25" spans="2:9">
      <c r="C25" s="54"/>
      <c r="D25" s="75"/>
      <c r="G25" s="54"/>
    </row>
    <row r="26" spans="2:9">
      <c r="C26" s="54"/>
      <c r="D26" s="75"/>
      <c r="G26" s="54"/>
    </row>
    <row r="27" spans="2:9">
      <c r="C27" s="54"/>
      <c r="D27" s="75"/>
      <c r="G27" s="54"/>
    </row>
    <row r="28" spans="2:9">
      <c r="C28" s="49"/>
      <c r="D28" s="76"/>
      <c r="G28" s="49"/>
    </row>
    <row r="29" spans="2:9">
      <c r="B29" s="49"/>
      <c r="C29" s="49"/>
      <c r="D29" s="49"/>
      <c r="E29" s="49"/>
      <c r="F29" s="49"/>
      <c r="I29" s="49"/>
    </row>
    <row r="30" spans="2:9" ht="32.25" customHeight="1">
      <c r="B30" s="171" t="s">
        <v>53</v>
      </c>
      <c r="C30" s="173" t="s">
        <v>46</v>
      </c>
      <c r="D30" s="175"/>
      <c r="E30" s="176"/>
    </row>
    <row r="31" spans="2:9" ht="30.75" customHeight="1">
      <c r="B31" s="172"/>
      <c r="C31" s="174"/>
      <c r="D31" s="175"/>
      <c r="E31" s="176"/>
    </row>
    <row r="32" spans="2:9">
      <c r="B32" s="82" t="s">
        <v>28</v>
      </c>
      <c r="C32" s="122" t="s">
        <v>48</v>
      </c>
      <c r="D32" s="121"/>
      <c r="E32" s="121"/>
    </row>
    <row r="33" spans="2:9">
      <c r="B33" s="127" t="str">
        <f>IF(C16=0,"",B16/C16)</f>
        <v/>
      </c>
      <c r="C33" s="124" t="e">
        <f>D16/$B$16</f>
        <v>#DIV/0!</v>
      </c>
      <c r="D33" s="120"/>
      <c r="E33" s="120"/>
    </row>
    <row r="34" spans="2:9">
      <c r="B34" s="49"/>
      <c r="C34" s="125" t="e">
        <f>D17/$B$16</f>
        <v>#DIV/0!</v>
      </c>
      <c r="D34" s="49"/>
      <c r="F34" s="49"/>
      <c r="G34" s="49"/>
    </row>
    <row r="35" spans="2:9">
      <c r="B35" s="49"/>
      <c r="C35" s="125" t="e">
        <f>D18/$B$16</f>
        <v>#DIV/0!</v>
      </c>
      <c r="D35" s="49"/>
      <c r="F35" s="49"/>
      <c r="G35" s="49"/>
    </row>
    <row r="36" spans="2:9">
      <c r="B36" s="49"/>
      <c r="C36" s="125" t="e">
        <f>D19/$B$16</f>
        <v>#DIV/0!</v>
      </c>
      <c r="D36" s="49"/>
      <c r="F36" s="49"/>
      <c r="G36" s="49"/>
    </row>
    <row r="37" spans="2:9">
      <c r="B37" s="49"/>
      <c r="C37" s="125" t="e">
        <f>D20/$B$16</f>
        <v>#DIV/0!</v>
      </c>
      <c r="D37" s="49"/>
      <c r="F37" s="49"/>
      <c r="G37" s="49"/>
    </row>
    <row r="38" spans="2:9">
      <c r="B38" s="49"/>
      <c r="C38" s="125" t="e">
        <f t="shared" ref="C38:C45" si="0">D21/$B$16</f>
        <v>#DIV/0!</v>
      </c>
      <c r="D38" s="49"/>
      <c r="F38" s="49"/>
      <c r="G38" s="49"/>
    </row>
    <row r="39" spans="2:9">
      <c r="B39" s="49"/>
      <c r="C39" s="125" t="e">
        <f t="shared" si="0"/>
        <v>#DIV/0!</v>
      </c>
      <c r="D39" s="49"/>
      <c r="F39" s="49"/>
      <c r="G39" s="49"/>
    </row>
    <row r="40" spans="2:9">
      <c r="B40" s="49"/>
      <c r="C40" s="125" t="e">
        <f t="shared" si="0"/>
        <v>#DIV/0!</v>
      </c>
      <c r="D40" s="49"/>
      <c r="F40" s="49"/>
      <c r="G40" s="49"/>
    </row>
    <row r="41" spans="2:9">
      <c r="B41" s="49"/>
      <c r="C41" s="125" t="e">
        <f t="shared" si="0"/>
        <v>#DIV/0!</v>
      </c>
      <c r="D41" s="49"/>
      <c r="F41" s="49"/>
      <c r="G41" s="49"/>
    </row>
    <row r="42" spans="2:9">
      <c r="B42" s="49"/>
      <c r="C42" s="125" t="e">
        <f t="shared" si="0"/>
        <v>#DIV/0!</v>
      </c>
      <c r="D42" s="49"/>
      <c r="F42" s="49"/>
      <c r="G42" s="49"/>
    </row>
    <row r="43" spans="2:9">
      <c r="B43" s="49"/>
      <c r="C43" s="125" t="e">
        <f t="shared" si="0"/>
        <v>#DIV/0!</v>
      </c>
      <c r="D43" s="49"/>
      <c r="F43" s="49"/>
      <c r="G43" s="49"/>
    </row>
    <row r="44" spans="2:9">
      <c r="B44" s="49"/>
      <c r="C44" s="125" t="e">
        <f t="shared" si="0"/>
        <v>#DIV/0!</v>
      </c>
      <c r="D44" s="49"/>
      <c r="F44" s="49"/>
      <c r="G44" s="49"/>
    </row>
    <row r="45" spans="2:9">
      <c r="B45" s="49"/>
      <c r="C45" s="126" t="e">
        <f t="shared" si="0"/>
        <v>#DIV/0!</v>
      </c>
      <c r="D45" s="49"/>
      <c r="F45" s="49"/>
      <c r="G45" s="49"/>
    </row>
    <row r="46" spans="2:9">
      <c r="B46" s="49"/>
      <c r="C46" s="49"/>
      <c r="D46" s="49"/>
      <c r="E46" s="49"/>
      <c r="F46" s="49"/>
      <c r="G46" s="49"/>
      <c r="H46" s="49"/>
      <c r="I46" s="49"/>
    </row>
    <row r="47" spans="2:9">
      <c r="B47" s="49"/>
      <c r="D47" s="73" t="s">
        <v>49</v>
      </c>
      <c r="E47" s="113"/>
      <c r="F47" s="49"/>
      <c r="G47" s="49"/>
      <c r="H47" s="49"/>
      <c r="I47" s="49"/>
    </row>
    <row r="48" spans="2:9">
      <c r="D48" s="74" t="s">
        <v>21</v>
      </c>
      <c r="E48" s="49"/>
      <c r="F48" s="49"/>
      <c r="G48" s="49"/>
      <c r="H48" s="49"/>
      <c r="I48" s="49"/>
    </row>
    <row r="49" spans="2:9">
      <c r="B49" s="47" t="s">
        <v>20</v>
      </c>
      <c r="D49" s="73" t="s">
        <v>43</v>
      </c>
      <c r="E49" s="113"/>
      <c r="F49" s="49"/>
      <c r="G49" s="49"/>
      <c r="H49" s="49"/>
      <c r="I49" s="49"/>
    </row>
    <row r="50" spans="2:9">
      <c r="B50" s="49"/>
      <c r="C50" s="49"/>
      <c r="D50" s="49"/>
      <c r="E50" s="49"/>
      <c r="F50" s="49"/>
      <c r="G50" s="49"/>
      <c r="H50" s="49"/>
      <c r="I50" s="49"/>
    </row>
    <row r="51" spans="2:9">
      <c r="B51" s="57"/>
      <c r="C51" s="57"/>
      <c r="D51" s="57"/>
    </row>
  </sheetData>
  <sheetProtection password="A028" sheet="1"/>
  <mergeCells count="5">
    <mergeCell ref="F3:I4"/>
    <mergeCell ref="B30:B31"/>
    <mergeCell ref="C30:C31"/>
    <mergeCell ref="D30:D31"/>
    <mergeCell ref="E30:E31"/>
  </mergeCells>
  <phoneticPr fontId="0" type="noConversion"/>
  <dataValidations count="1">
    <dataValidation type="date" operator="greaterThanOrEqual" allowBlank="1" showInputMessage="1" showErrorMessage="1" errorTitle="Error" error="You must enter a date in this format_x000a_                  dd/mm/yy" promptTitle="Warning" prompt="You must enter a date in this format_x000a_                  dd/mm/yy" sqref="D11 F11">
      <formula1>1</formula1>
    </dataValidation>
  </dataValidations>
  <printOptions horizontalCentered="1" verticalCentered="1"/>
  <pageMargins left="0.5" right="0.5" top="0.2" bottom="0.31" header="0.18" footer="0.17"/>
  <pageSetup paperSize="9" scale="86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N44"/>
  <sheetViews>
    <sheetView showGridLines="0" topLeftCell="A7" zoomScaleNormal="100" workbookViewId="0">
      <selection activeCell="K40" sqref="K40"/>
    </sheetView>
  </sheetViews>
  <sheetFormatPr defaultRowHeight="12.75"/>
  <cols>
    <col min="1" max="1" width="7.140625" style="19" customWidth="1"/>
    <col min="2" max="2" width="14.28515625" style="19" customWidth="1"/>
    <col min="3" max="3" width="14.140625" style="19" customWidth="1"/>
    <col min="4" max="4" width="14.28515625" style="19" customWidth="1"/>
    <col min="5" max="5" width="16.140625" style="19" customWidth="1"/>
    <col min="6" max="9" width="15.85546875" style="19" customWidth="1"/>
    <col min="10" max="10" width="15.42578125" style="19" customWidth="1"/>
    <col min="11" max="11" width="11.7109375" style="19" customWidth="1"/>
    <col min="12" max="12" width="16" style="19" customWidth="1"/>
    <col min="13" max="16384" width="9.140625" style="19"/>
  </cols>
  <sheetData>
    <row r="1" spans="1:14" s="6" customFormat="1" ht="15">
      <c r="A1" s="1"/>
      <c r="B1" s="2" t="s">
        <v>0</v>
      </c>
      <c r="C1" s="3"/>
      <c r="D1" s="4"/>
      <c r="E1" s="2"/>
      <c r="F1" s="2"/>
      <c r="G1" s="2"/>
      <c r="H1" s="3"/>
      <c r="I1" s="3"/>
      <c r="J1" s="3"/>
      <c r="K1" s="3"/>
      <c r="L1" s="5"/>
      <c r="M1" s="5"/>
      <c r="N1" s="5"/>
    </row>
    <row r="2" spans="1:14" s="6" customFormat="1" ht="15">
      <c r="A2" s="1"/>
      <c r="B2" s="2"/>
      <c r="C2" s="3"/>
      <c r="D2" s="3"/>
      <c r="E2" s="3"/>
      <c r="F2" s="3"/>
      <c r="G2" s="3"/>
      <c r="H2" s="3"/>
      <c r="I2" s="3"/>
      <c r="J2" s="3"/>
      <c r="K2" s="3"/>
      <c r="L2" s="5"/>
      <c r="M2" s="5"/>
      <c r="N2" s="5"/>
    </row>
    <row r="3" spans="1:14" s="6" customFormat="1">
      <c r="A3" s="1"/>
      <c r="B3" s="7" t="s">
        <v>1</v>
      </c>
      <c r="C3" s="8" t="str">
        <f>IF(Sheet1!D11&lt;&gt;"",Sheet1!D11,"")</f>
        <v/>
      </c>
      <c r="D3" s="9" t="s">
        <v>2</v>
      </c>
      <c r="E3" s="8" t="str">
        <f>IF(Sheet1!F11&lt;&gt;"",Sheet1!F11,"")</f>
        <v/>
      </c>
      <c r="F3" s="11"/>
      <c r="G3" s="11"/>
      <c r="H3" s="11"/>
      <c r="I3" s="11"/>
      <c r="J3" s="3"/>
      <c r="K3" s="3"/>
      <c r="L3" s="5"/>
      <c r="M3" s="5"/>
      <c r="N3" s="5"/>
    </row>
    <row r="4" spans="1:14" s="6" customFormat="1" ht="9.75" customHeight="1">
      <c r="A4" s="1"/>
      <c r="B4" s="10"/>
      <c r="C4" s="9"/>
      <c r="D4" s="10"/>
      <c r="E4" s="12"/>
      <c r="F4" s="12"/>
      <c r="G4" s="12"/>
      <c r="H4" s="3"/>
      <c r="I4" s="3"/>
      <c r="J4" s="3"/>
      <c r="K4" s="3"/>
      <c r="L4" s="13"/>
      <c r="M4" s="5"/>
      <c r="N4" s="5"/>
    </row>
    <row r="5" spans="1:14" s="6" customFormat="1">
      <c r="A5" s="14" t="s">
        <v>47</v>
      </c>
      <c r="B5" s="15"/>
      <c r="C5" s="13"/>
      <c r="D5" s="4"/>
      <c r="E5" s="16"/>
      <c r="F5" s="16"/>
      <c r="G5" s="16"/>
      <c r="H5" s="3"/>
      <c r="I5" s="3"/>
      <c r="J5" s="3"/>
      <c r="K5" s="16" t="s">
        <v>4</v>
      </c>
      <c r="L5" s="5"/>
      <c r="M5" s="5"/>
      <c r="N5" s="5"/>
    </row>
    <row r="6" spans="1:14" ht="39" customHeight="1">
      <c r="A6" s="182" t="s">
        <v>6</v>
      </c>
      <c r="B6" s="177" t="s">
        <v>7</v>
      </c>
      <c r="C6" s="177" t="s">
        <v>8</v>
      </c>
      <c r="D6" s="177" t="s">
        <v>9</v>
      </c>
      <c r="E6" s="179" t="s">
        <v>44</v>
      </c>
      <c r="F6" s="181" t="s">
        <v>29</v>
      </c>
      <c r="G6" s="181"/>
      <c r="H6" s="177" t="s">
        <v>5</v>
      </c>
      <c r="I6" s="177"/>
      <c r="J6" s="177"/>
      <c r="K6" s="178"/>
      <c r="L6" s="17"/>
      <c r="M6" s="18"/>
      <c r="N6" s="18"/>
    </row>
    <row r="7" spans="1:14" ht="48">
      <c r="A7" s="183"/>
      <c r="B7" s="184"/>
      <c r="C7" s="184"/>
      <c r="D7" s="184"/>
      <c r="E7" s="180"/>
      <c r="F7" s="85" t="s">
        <v>30</v>
      </c>
      <c r="G7" s="85" t="s">
        <v>31</v>
      </c>
      <c r="H7" s="85" t="s">
        <v>22</v>
      </c>
      <c r="I7" s="85" t="s">
        <v>32</v>
      </c>
      <c r="J7" s="86" t="s">
        <v>23</v>
      </c>
      <c r="K7" s="87" t="s">
        <v>41</v>
      </c>
      <c r="L7" s="17"/>
      <c r="M7" s="18"/>
      <c r="N7" s="18"/>
    </row>
    <row r="8" spans="1:14">
      <c r="A8" s="88"/>
      <c r="B8" s="89">
        <v>1</v>
      </c>
      <c r="C8" s="89">
        <v>2</v>
      </c>
      <c r="D8" s="89">
        <v>3</v>
      </c>
      <c r="E8" s="90">
        <v>4</v>
      </c>
      <c r="F8" s="89">
        <v>5</v>
      </c>
      <c r="G8" s="89">
        <v>6</v>
      </c>
      <c r="H8" s="89">
        <v>7</v>
      </c>
      <c r="I8" s="89">
        <v>8</v>
      </c>
      <c r="J8" s="89">
        <v>9</v>
      </c>
      <c r="K8" s="91">
        <v>10</v>
      </c>
      <c r="L8" s="17"/>
      <c r="M8" s="18"/>
      <c r="N8" s="18"/>
    </row>
    <row r="9" spans="1:14">
      <c r="A9" s="20">
        <v>1</v>
      </c>
      <c r="B9" s="21"/>
      <c r="C9" s="21"/>
      <c r="D9" s="22" t="str">
        <f>IF(TRIM(B9)&lt;&gt;"",SUM(B9:C9),"")</f>
        <v/>
      </c>
      <c r="E9" s="21"/>
      <c r="F9" s="21"/>
      <c r="G9" s="21"/>
      <c r="H9" s="22" t="str">
        <f>IF(TRIM(B9)&lt;&gt;"",B9-E9,"")</f>
        <v/>
      </c>
      <c r="I9" s="22" t="str">
        <f t="shared" ref="I9:I39" si="0">IF(TRIM(B9)&lt;&gt;"",C9+F9-G9,"")</f>
        <v/>
      </c>
      <c r="J9" s="22" t="str">
        <f>IF(TRIM(I9)&lt;&gt;"",IF(H9&lt;=0,IF(I9&lt;=0,I9,0),IF(I9&gt;H9/2,H9/2,I9))," ")</f>
        <v xml:space="preserve"> </v>
      </c>
      <c r="K9" s="23" t="str">
        <f>IF(TRIM(B9)&lt;&gt;"",SUM(H9,J9),"")</f>
        <v/>
      </c>
      <c r="L9" s="17"/>
      <c r="M9" s="18"/>
      <c r="N9" s="18"/>
    </row>
    <row r="10" spans="1:14">
      <c r="A10" s="20">
        <v>2</v>
      </c>
      <c r="B10" s="21"/>
      <c r="C10" s="21"/>
      <c r="D10" s="22" t="str">
        <f t="shared" ref="D10:D39" si="1">IF(TRIM(B10)&lt;&gt;"",SUM(B10:C10),"")</f>
        <v/>
      </c>
      <c r="E10" s="21"/>
      <c r="F10" s="21"/>
      <c r="G10" s="21"/>
      <c r="H10" s="22" t="str">
        <f t="shared" ref="H10:H39" si="2">IF(TRIM(B10)&lt;&gt;"",B10-E10,"")</f>
        <v/>
      </c>
      <c r="I10" s="22" t="str">
        <f t="shared" si="0"/>
        <v/>
      </c>
      <c r="J10" s="22" t="str">
        <f t="shared" ref="J10:J39" si="3">IF(TRIM(I10)&lt;&gt;"",IF(H10&lt;=0,IF(I10&lt;=0,I10,0),IF(I10&gt;H10/2,H10/2,I10))," ")</f>
        <v xml:space="preserve"> </v>
      </c>
      <c r="K10" s="23" t="str">
        <f t="shared" ref="K10:K39" si="4">IF(TRIM(B10)&lt;&gt;"",SUM(H10,J10),"")</f>
        <v/>
      </c>
      <c r="L10" s="17"/>
      <c r="M10" s="18"/>
      <c r="N10" s="18"/>
    </row>
    <row r="11" spans="1:14">
      <c r="A11" s="20">
        <v>3</v>
      </c>
      <c r="B11" s="21"/>
      <c r="C11" s="21"/>
      <c r="D11" s="22" t="str">
        <f t="shared" si="1"/>
        <v/>
      </c>
      <c r="E11" s="21"/>
      <c r="F11" s="21"/>
      <c r="G11" s="21"/>
      <c r="H11" s="22" t="str">
        <f t="shared" si="2"/>
        <v/>
      </c>
      <c r="I11" s="22" t="str">
        <f t="shared" si="0"/>
        <v/>
      </c>
      <c r="J11" s="22" t="str">
        <f t="shared" si="3"/>
        <v xml:space="preserve"> </v>
      </c>
      <c r="K11" s="23" t="str">
        <f t="shared" si="4"/>
        <v/>
      </c>
      <c r="L11" s="17"/>
      <c r="M11" s="18"/>
      <c r="N11" s="18"/>
    </row>
    <row r="12" spans="1:14">
      <c r="A12" s="20">
        <v>4</v>
      </c>
      <c r="B12" s="21"/>
      <c r="C12" s="21"/>
      <c r="D12" s="22" t="str">
        <f t="shared" si="1"/>
        <v/>
      </c>
      <c r="E12" s="21"/>
      <c r="F12" s="21"/>
      <c r="G12" s="21"/>
      <c r="H12" s="22" t="str">
        <f t="shared" si="2"/>
        <v/>
      </c>
      <c r="I12" s="22" t="str">
        <f t="shared" si="0"/>
        <v/>
      </c>
      <c r="J12" s="22" t="str">
        <f t="shared" si="3"/>
        <v xml:space="preserve"> </v>
      </c>
      <c r="K12" s="23" t="str">
        <f t="shared" si="4"/>
        <v/>
      </c>
      <c r="L12" s="17"/>
      <c r="M12" s="18"/>
      <c r="N12" s="18"/>
    </row>
    <row r="13" spans="1:14">
      <c r="A13" s="20">
        <v>5</v>
      </c>
      <c r="B13" s="21"/>
      <c r="C13" s="21"/>
      <c r="D13" s="22" t="str">
        <f t="shared" si="1"/>
        <v/>
      </c>
      <c r="E13" s="21"/>
      <c r="F13" s="21"/>
      <c r="G13" s="21"/>
      <c r="H13" s="22" t="str">
        <f t="shared" si="2"/>
        <v/>
      </c>
      <c r="I13" s="22" t="str">
        <f t="shared" si="0"/>
        <v/>
      </c>
      <c r="J13" s="22" t="str">
        <f t="shared" si="3"/>
        <v xml:space="preserve"> </v>
      </c>
      <c r="K13" s="23" t="str">
        <f t="shared" si="4"/>
        <v/>
      </c>
      <c r="L13" s="17"/>
      <c r="M13" s="18"/>
      <c r="N13" s="18"/>
    </row>
    <row r="14" spans="1:14">
      <c r="A14" s="20">
        <v>6</v>
      </c>
      <c r="B14" s="21"/>
      <c r="C14" s="21"/>
      <c r="D14" s="22" t="str">
        <f t="shared" si="1"/>
        <v/>
      </c>
      <c r="E14" s="21"/>
      <c r="F14" s="21"/>
      <c r="G14" s="21"/>
      <c r="H14" s="22" t="str">
        <f t="shared" si="2"/>
        <v/>
      </c>
      <c r="I14" s="22" t="str">
        <f t="shared" si="0"/>
        <v/>
      </c>
      <c r="J14" s="22" t="str">
        <f t="shared" si="3"/>
        <v xml:space="preserve"> </v>
      </c>
      <c r="K14" s="23" t="str">
        <f t="shared" si="4"/>
        <v/>
      </c>
      <c r="L14" s="17"/>
      <c r="M14" s="18"/>
      <c r="N14" s="18"/>
    </row>
    <row r="15" spans="1:14">
      <c r="A15" s="20">
        <v>7</v>
      </c>
      <c r="B15" s="21"/>
      <c r="C15" s="21"/>
      <c r="D15" s="22" t="str">
        <f t="shared" si="1"/>
        <v/>
      </c>
      <c r="E15" s="21"/>
      <c r="F15" s="21"/>
      <c r="G15" s="21"/>
      <c r="H15" s="22" t="str">
        <f t="shared" si="2"/>
        <v/>
      </c>
      <c r="I15" s="22" t="str">
        <f t="shared" si="0"/>
        <v/>
      </c>
      <c r="J15" s="22" t="str">
        <f t="shared" si="3"/>
        <v xml:space="preserve"> </v>
      </c>
      <c r="K15" s="23" t="str">
        <f t="shared" si="4"/>
        <v/>
      </c>
      <c r="L15" s="17"/>
      <c r="M15" s="18"/>
      <c r="N15" s="18"/>
    </row>
    <row r="16" spans="1:14">
      <c r="A16" s="20">
        <v>8</v>
      </c>
      <c r="B16" s="21"/>
      <c r="C16" s="21"/>
      <c r="D16" s="22" t="str">
        <f t="shared" si="1"/>
        <v/>
      </c>
      <c r="E16" s="21"/>
      <c r="F16" s="21"/>
      <c r="G16" s="21"/>
      <c r="H16" s="22" t="str">
        <f t="shared" si="2"/>
        <v/>
      </c>
      <c r="I16" s="22" t="str">
        <f t="shared" si="0"/>
        <v/>
      </c>
      <c r="J16" s="22" t="str">
        <f t="shared" si="3"/>
        <v xml:space="preserve"> </v>
      </c>
      <c r="K16" s="23" t="str">
        <f t="shared" si="4"/>
        <v/>
      </c>
      <c r="L16" s="17"/>
      <c r="M16" s="18"/>
      <c r="N16" s="18"/>
    </row>
    <row r="17" spans="1:14">
      <c r="A17" s="20">
        <v>9</v>
      </c>
      <c r="B17" s="21"/>
      <c r="C17" s="21"/>
      <c r="D17" s="22" t="str">
        <f t="shared" si="1"/>
        <v/>
      </c>
      <c r="E17" s="21"/>
      <c r="F17" s="21"/>
      <c r="G17" s="21"/>
      <c r="H17" s="22" t="str">
        <f t="shared" si="2"/>
        <v/>
      </c>
      <c r="I17" s="22" t="str">
        <f t="shared" si="0"/>
        <v/>
      </c>
      <c r="J17" s="22" t="str">
        <f t="shared" si="3"/>
        <v xml:space="preserve"> </v>
      </c>
      <c r="K17" s="23" t="str">
        <f t="shared" si="4"/>
        <v/>
      </c>
      <c r="L17" s="17"/>
      <c r="M17" s="18"/>
      <c r="N17" s="18"/>
    </row>
    <row r="18" spans="1:14">
      <c r="A18" s="20">
        <v>10</v>
      </c>
      <c r="B18" s="21"/>
      <c r="C18" s="21"/>
      <c r="D18" s="22" t="str">
        <f t="shared" si="1"/>
        <v/>
      </c>
      <c r="E18" s="21"/>
      <c r="F18" s="21"/>
      <c r="G18" s="21"/>
      <c r="H18" s="22" t="str">
        <f t="shared" si="2"/>
        <v/>
      </c>
      <c r="I18" s="22" t="str">
        <f t="shared" si="0"/>
        <v/>
      </c>
      <c r="J18" s="22" t="str">
        <f t="shared" si="3"/>
        <v xml:space="preserve"> </v>
      </c>
      <c r="K18" s="23" t="str">
        <f t="shared" si="4"/>
        <v/>
      </c>
      <c r="L18" s="17"/>
      <c r="M18" s="18"/>
      <c r="N18" s="18"/>
    </row>
    <row r="19" spans="1:14">
      <c r="A19" s="20">
        <v>11</v>
      </c>
      <c r="B19" s="21"/>
      <c r="C19" s="21"/>
      <c r="D19" s="22" t="str">
        <f t="shared" si="1"/>
        <v/>
      </c>
      <c r="E19" s="21"/>
      <c r="F19" s="21"/>
      <c r="G19" s="21"/>
      <c r="H19" s="22" t="str">
        <f t="shared" si="2"/>
        <v/>
      </c>
      <c r="I19" s="22" t="str">
        <f t="shared" si="0"/>
        <v/>
      </c>
      <c r="J19" s="22" t="str">
        <f t="shared" si="3"/>
        <v xml:space="preserve"> </v>
      </c>
      <c r="K19" s="23" t="str">
        <f t="shared" si="4"/>
        <v/>
      </c>
      <c r="L19" s="17"/>
      <c r="M19" s="18"/>
      <c r="N19" s="18"/>
    </row>
    <row r="20" spans="1:14">
      <c r="A20" s="20">
        <v>12</v>
      </c>
      <c r="B20" s="21"/>
      <c r="C20" s="21"/>
      <c r="D20" s="22" t="str">
        <f t="shared" si="1"/>
        <v/>
      </c>
      <c r="E20" s="21"/>
      <c r="F20" s="21"/>
      <c r="G20" s="21"/>
      <c r="H20" s="22" t="str">
        <f t="shared" si="2"/>
        <v/>
      </c>
      <c r="I20" s="22" t="str">
        <f t="shared" si="0"/>
        <v/>
      </c>
      <c r="J20" s="22" t="str">
        <f t="shared" si="3"/>
        <v xml:space="preserve"> </v>
      </c>
      <c r="K20" s="23" t="str">
        <f t="shared" si="4"/>
        <v/>
      </c>
      <c r="L20" s="17"/>
      <c r="M20" s="18"/>
      <c r="N20" s="18"/>
    </row>
    <row r="21" spans="1:14">
      <c r="A21" s="20">
        <v>13</v>
      </c>
      <c r="B21" s="21"/>
      <c r="C21" s="21"/>
      <c r="D21" s="22" t="str">
        <f t="shared" si="1"/>
        <v/>
      </c>
      <c r="E21" s="21"/>
      <c r="F21" s="21"/>
      <c r="G21" s="21"/>
      <c r="H21" s="22" t="str">
        <f t="shared" si="2"/>
        <v/>
      </c>
      <c r="I21" s="22" t="str">
        <f t="shared" si="0"/>
        <v/>
      </c>
      <c r="J21" s="22" t="str">
        <f t="shared" si="3"/>
        <v xml:space="preserve"> </v>
      </c>
      <c r="K21" s="23" t="str">
        <f t="shared" si="4"/>
        <v/>
      </c>
      <c r="L21" s="17"/>
      <c r="M21" s="18"/>
      <c r="N21" s="18"/>
    </row>
    <row r="22" spans="1:14">
      <c r="A22" s="20">
        <v>14</v>
      </c>
      <c r="B22" s="21"/>
      <c r="C22" s="21"/>
      <c r="D22" s="22" t="str">
        <f t="shared" si="1"/>
        <v/>
      </c>
      <c r="E22" s="21"/>
      <c r="F22" s="21"/>
      <c r="G22" s="21"/>
      <c r="H22" s="22" t="str">
        <f t="shared" si="2"/>
        <v/>
      </c>
      <c r="I22" s="22" t="str">
        <f t="shared" si="0"/>
        <v/>
      </c>
      <c r="J22" s="22" t="str">
        <f t="shared" si="3"/>
        <v xml:space="preserve"> </v>
      </c>
      <c r="K22" s="23" t="str">
        <f t="shared" si="4"/>
        <v/>
      </c>
      <c r="L22" s="17"/>
      <c r="M22" s="18"/>
      <c r="N22" s="18"/>
    </row>
    <row r="23" spans="1:14">
      <c r="A23" s="20">
        <v>15</v>
      </c>
      <c r="B23" s="21"/>
      <c r="C23" s="21"/>
      <c r="D23" s="22" t="str">
        <f t="shared" si="1"/>
        <v/>
      </c>
      <c r="E23" s="21"/>
      <c r="F23" s="21"/>
      <c r="G23" s="21"/>
      <c r="H23" s="22" t="str">
        <f t="shared" si="2"/>
        <v/>
      </c>
      <c r="I23" s="22" t="str">
        <f t="shared" si="0"/>
        <v/>
      </c>
      <c r="J23" s="22" t="str">
        <f t="shared" si="3"/>
        <v xml:space="preserve"> </v>
      </c>
      <c r="K23" s="23" t="str">
        <f t="shared" si="4"/>
        <v/>
      </c>
      <c r="L23" s="17"/>
      <c r="M23" s="18"/>
      <c r="N23" s="18"/>
    </row>
    <row r="24" spans="1:14">
      <c r="A24" s="20">
        <v>16</v>
      </c>
      <c r="B24" s="21"/>
      <c r="C24" s="21"/>
      <c r="D24" s="22" t="str">
        <f t="shared" si="1"/>
        <v/>
      </c>
      <c r="E24" s="21"/>
      <c r="F24" s="21"/>
      <c r="G24" s="21"/>
      <c r="H24" s="22" t="str">
        <f t="shared" si="2"/>
        <v/>
      </c>
      <c r="I24" s="22" t="str">
        <f t="shared" si="0"/>
        <v/>
      </c>
      <c r="J24" s="22" t="str">
        <f t="shared" si="3"/>
        <v xml:space="preserve"> </v>
      </c>
      <c r="K24" s="23" t="str">
        <f t="shared" si="4"/>
        <v/>
      </c>
      <c r="L24" s="17"/>
      <c r="M24" s="18"/>
      <c r="N24" s="18"/>
    </row>
    <row r="25" spans="1:14">
      <c r="A25" s="20">
        <v>17</v>
      </c>
      <c r="B25" s="21"/>
      <c r="C25" s="21"/>
      <c r="D25" s="22" t="str">
        <f t="shared" si="1"/>
        <v/>
      </c>
      <c r="E25" s="21"/>
      <c r="F25" s="21"/>
      <c r="G25" s="21"/>
      <c r="H25" s="22" t="str">
        <f t="shared" si="2"/>
        <v/>
      </c>
      <c r="I25" s="22" t="str">
        <f t="shared" si="0"/>
        <v/>
      </c>
      <c r="J25" s="22" t="str">
        <f t="shared" si="3"/>
        <v xml:space="preserve"> </v>
      </c>
      <c r="K25" s="23" t="str">
        <f t="shared" si="4"/>
        <v/>
      </c>
      <c r="L25" s="17"/>
      <c r="M25" s="18"/>
      <c r="N25" s="18"/>
    </row>
    <row r="26" spans="1:14">
      <c r="A26" s="20">
        <v>18</v>
      </c>
      <c r="B26" s="21"/>
      <c r="C26" s="21"/>
      <c r="D26" s="22" t="str">
        <f t="shared" si="1"/>
        <v/>
      </c>
      <c r="E26" s="21"/>
      <c r="F26" s="21"/>
      <c r="G26" s="21"/>
      <c r="H26" s="22" t="str">
        <f t="shared" si="2"/>
        <v/>
      </c>
      <c r="I26" s="22" t="str">
        <f t="shared" si="0"/>
        <v/>
      </c>
      <c r="J26" s="22" t="str">
        <f t="shared" si="3"/>
        <v xml:space="preserve"> </v>
      </c>
      <c r="K26" s="23" t="str">
        <f t="shared" si="4"/>
        <v/>
      </c>
      <c r="L26" s="17"/>
      <c r="M26" s="18"/>
      <c r="N26" s="18"/>
    </row>
    <row r="27" spans="1:14">
      <c r="A27" s="20">
        <v>19</v>
      </c>
      <c r="B27" s="21"/>
      <c r="C27" s="21"/>
      <c r="D27" s="22" t="str">
        <f t="shared" si="1"/>
        <v/>
      </c>
      <c r="E27" s="21"/>
      <c r="F27" s="21"/>
      <c r="G27" s="21"/>
      <c r="H27" s="22" t="str">
        <f t="shared" si="2"/>
        <v/>
      </c>
      <c r="I27" s="22" t="str">
        <f t="shared" si="0"/>
        <v/>
      </c>
      <c r="J27" s="22" t="str">
        <f t="shared" si="3"/>
        <v xml:space="preserve"> </v>
      </c>
      <c r="K27" s="23" t="str">
        <f t="shared" si="4"/>
        <v/>
      </c>
      <c r="L27" s="17"/>
      <c r="M27" s="18"/>
      <c r="N27" s="18"/>
    </row>
    <row r="28" spans="1:14">
      <c r="A28" s="20">
        <v>20</v>
      </c>
      <c r="B28" s="21"/>
      <c r="C28" s="21"/>
      <c r="D28" s="22" t="str">
        <f t="shared" si="1"/>
        <v/>
      </c>
      <c r="E28" s="21"/>
      <c r="F28" s="21"/>
      <c r="G28" s="21"/>
      <c r="H28" s="22" t="str">
        <f t="shared" si="2"/>
        <v/>
      </c>
      <c r="I28" s="22" t="str">
        <f t="shared" si="0"/>
        <v/>
      </c>
      <c r="J28" s="22" t="str">
        <f t="shared" si="3"/>
        <v xml:space="preserve"> </v>
      </c>
      <c r="K28" s="23" t="str">
        <f t="shared" si="4"/>
        <v/>
      </c>
      <c r="L28" s="17"/>
      <c r="M28" s="18"/>
      <c r="N28" s="18"/>
    </row>
    <row r="29" spans="1:14">
      <c r="A29" s="20">
        <v>21</v>
      </c>
      <c r="B29" s="21"/>
      <c r="C29" s="21"/>
      <c r="D29" s="22" t="str">
        <f t="shared" si="1"/>
        <v/>
      </c>
      <c r="E29" s="21"/>
      <c r="F29" s="21"/>
      <c r="G29" s="21"/>
      <c r="H29" s="22" t="str">
        <f t="shared" si="2"/>
        <v/>
      </c>
      <c r="I29" s="22" t="str">
        <f t="shared" si="0"/>
        <v/>
      </c>
      <c r="J29" s="22" t="str">
        <f t="shared" si="3"/>
        <v xml:space="preserve"> </v>
      </c>
      <c r="K29" s="23" t="str">
        <f t="shared" si="4"/>
        <v/>
      </c>
      <c r="L29" s="17"/>
      <c r="M29" s="18"/>
      <c r="N29" s="18"/>
    </row>
    <row r="30" spans="1:14">
      <c r="A30" s="20">
        <v>22</v>
      </c>
      <c r="B30" s="21"/>
      <c r="C30" s="21"/>
      <c r="D30" s="22" t="str">
        <f t="shared" si="1"/>
        <v/>
      </c>
      <c r="E30" s="21"/>
      <c r="F30" s="21"/>
      <c r="G30" s="21"/>
      <c r="H30" s="22" t="str">
        <f t="shared" si="2"/>
        <v/>
      </c>
      <c r="I30" s="22" t="str">
        <f t="shared" si="0"/>
        <v/>
      </c>
      <c r="J30" s="22" t="str">
        <f t="shared" si="3"/>
        <v xml:space="preserve"> </v>
      </c>
      <c r="K30" s="23" t="str">
        <f t="shared" si="4"/>
        <v/>
      </c>
      <c r="L30" s="17"/>
      <c r="M30" s="18"/>
      <c r="N30" s="18"/>
    </row>
    <row r="31" spans="1:14">
      <c r="A31" s="20">
        <v>23</v>
      </c>
      <c r="B31" s="21"/>
      <c r="C31" s="21"/>
      <c r="D31" s="22" t="str">
        <f t="shared" si="1"/>
        <v/>
      </c>
      <c r="E31" s="21"/>
      <c r="F31" s="21"/>
      <c r="G31" s="21"/>
      <c r="H31" s="22" t="str">
        <f t="shared" si="2"/>
        <v/>
      </c>
      <c r="I31" s="22" t="str">
        <f t="shared" si="0"/>
        <v/>
      </c>
      <c r="J31" s="22" t="str">
        <f t="shared" si="3"/>
        <v xml:space="preserve"> </v>
      </c>
      <c r="K31" s="23" t="str">
        <f t="shared" si="4"/>
        <v/>
      </c>
      <c r="L31" s="17"/>
      <c r="M31" s="18"/>
      <c r="N31" s="18"/>
    </row>
    <row r="32" spans="1:14">
      <c r="A32" s="20">
        <v>24</v>
      </c>
      <c r="B32" s="21"/>
      <c r="C32" s="21"/>
      <c r="D32" s="22" t="str">
        <f t="shared" si="1"/>
        <v/>
      </c>
      <c r="E32" s="21"/>
      <c r="F32" s="21"/>
      <c r="G32" s="21"/>
      <c r="H32" s="22" t="str">
        <f t="shared" si="2"/>
        <v/>
      </c>
      <c r="I32" s="22" t="str">
        <f t="shared" si="0"/>
        <v/>
      </c>
      <c r="J32" s="22" t="str">
        <f t="shared" si="3"/>
        <v xml:space="preserve"> </v>
      </c>
      <c r="K32" s="23" t="str">
        <f t="shared" si="4"/>
        <v/>
      </c>
      <c r="L32" s="17"/>
      <c r="M32" s="18"/>
      <c r="N32" s="18"/>
    </row>
    <row r="33" spans="1:14">
      <c r="A33" s="20">
        <v>25</v>
      </c>
      <c r="B33" s="21"/>
      <c r="C33" s="21"/>
      <c r="D33" s="22" t="str">
        <f t="shared" si="1"/>
        <v/>
      </c>
      <c r="E33" s="21"/>
      <c r="F33" s="21"/>
      <c r="G33" s="21"/>
      <c r="H33" s="22" t="str">
        <f t="shared" si="2"/>
        <v/>
      </c>
      <c r="I33" s="22" t="str">
        <f t="shared" si="0"/>
        <v/>
      </c>
      <c r="J33" s="22" t="str">
        <f t="shared" si="3"/>
        <v xml:space="preserve"> </v>
      </c>
      <c r="K33" s="23" t="str">
        <f t="shared" si="4"/>
        <v/>
      </c>
      <c r="L33" s="17"/>
      <c r="M33" s="18"/>
      <c r="N33" s="18"/>
    </row>
    <row r="34" spans="1:14">
      <c r="A34" s="20">
        <v>26</v>
      </c>
      <c r="B34" s="21"/>
      <c r="C34" s="21"/>
      <c r="D34" s="22" t="str">
        <f t="shared" si="1"/>
        <v/>
      </c>
      <c r="E34" s="21"/>
      <c r="F34" s="21"/>
      <c r="G34" s="21"/>
      <c r="H34" s="22" t="str">
        <f t="shared" si="2"/>
        <v/>
      </c>
      <c r="I34" s="22" t="str">
        <f t="shared" si="0"/>
        <v/>
      </c>
      <c r="J34" s="22" t="str">
        <f t="shared" si="3"/>
        <v xml:space="preserve"> </v>
      </c>
      <c r="K34" s="23" t="str">
        <f t="shared" si="4"/>
        <v/>
      </c>
      <c r="L34" s="17"/>
      <c r="M34" s="18"/>
      <c r="N34" s="18"/>
    </row>
    <row r="35" spans="1:14">
      <c r="A35" s="20">
        <v>27</v>
      </c>
      <c r="B35" s="21"/>
      <c r="C35" s="21"/>
      <c r="D35" s="22" t="str">
        <f t="shared" si="1"/>
        <v/>
      </c>
      <c r="E35" s="21"/>
      <c r="F35" s="21"/>
      <c r="G35" s="21"/>
      <c r="H35" s="22" t="str">
        <f t="shared" si="2"/>
        <v/>
      </c>
      <c r="I35" s="22" t="str">
        <f t="shared" si="0"/>
        <v/>
      </c>
      <c r="J35" s="22" t="str">
        <f t="shared" si="3"/>
        <v xml:space="preserve"> </v>
      </c>
      <c r="K35" s="23" t="str">
        <f t="shared" si="4"/>
        <v/>
      </c>
      <c r="L35" s="17"/>
      <c r="M35" s="18"/>
      <c r="N35" s="18"/>
    </row>
    <row r="36" spans="1:14">
      <c r="A36" s="20">
        <v>28</v>
      </c>
      <c r="B36" s="21"/>
      <c r="C36" s="21"/>
      <c r="D36" s="22" t="str">
        <f t="shared" si="1"/>
        <v/>
      </c>
      <c r="E36" s="21"/>
      <c r="F36" s="21"/>
      <c r="G36" s="21"/>
      <c r="H36" s="22" t="str">
        <f t="shared" si="2"/>
        <v/>
      </c>
      <c r="I36" s="22" t="str">
        <f t="shared" si="0"/>
        <v/>
      </c>
      <c r="J36" s="22" t="str">
        <f t="shared" si="3"/>
        <v xml:space="preserve"> </v>
      </c>
      <c r="K36" s="23" t="str">
        <f t="shared" si="4"/>
        <v/>
      </c>
      <c r="L36" s="17"/>
      <c r="M36" s="18"/>
      <c r="N36" s="18"/>
    </row>
    <row r="37" spans="1:14">
      <c r="A37" s="20">
        <v>29</v>
      </c>
      <c r="B37" s="21"/>
      <c r="C37" s="21"/>
      <c r="D37" s="22" t="str">
        <f t="shared" si="1"/>
        <v/>
      </c>
      <c r="E37" s="21"/>
      <c r="F37" s="21"/>
      <c r="G37" s="21"/>
      <c r="H37" s="22" t="str">
        <f t="shared" si="2"/>
        <v/>
      </c>
      <c r="I37" s="22" t="str">
        <f t="shared" si="0"/>
        <v/>
      </c>
      <c r="J37" s="22" t="str">
        <f t="shared" si="3"/>
        <v xml:space="preserve"> </v>
      </c>
      <c r="K37" s="23" t="str">
        <f t="shared" si="4"/>
        <v/>
      </c>
      <c r="L37" s="17"/>
      <c r="M37" s="18"/>
      <c r="N37" s="18"/>
    </row>
    <row r="38" spans="1:14">
      <c r="A38" s="20">
        <v>30</v>
      </c>
      <c r="B38" s="21"/>
      <c r="C38" s="21"/>
      <c r="D38" s="22" t="str">
        <f t="shared" si="1"/>
        <v/>
      </c>
      <c r="E38" s="21"/>
      <c r="F38" s="21"/>
      <c r="G38" s="21"/>
      <c r="H38" s="22" t="str">
        <f t="shared" si="2"/>
        <v/>
      </c>
      <c r="I38" s="22" t="str">
        <f t="shared" si="0"/>
        <v/>
      </c>
      <c r="J38" s="22" t="str">
        <f t="shared" si="3"/>
        <v xml:space="preserve"> </v>
      </c>
      <c r="K38" s="23" t="str">
        <f t="shared" si="4"/>
        <v/>
      </c>
      <c r="L38" s="17"/>
      <c r="M38" s="18"/>
      <c r="N38" s="18"/>
    </row>
    <row r="39" spans="1:14">
      <c r="A39" s="24">
        <v>31</v>
      </c>
      <c r="B39" s="21"/>
      <c r="C39" s="21"/>
      <c r="D39" s="22" t="str">
        <f t="shared" si="1"/>
        <v/>
      </c>
      <c r="E39" s="21"/>
      <c r="F39" s="21"/>
      <c r="G39" s="21"/>
      <c r="H39" s="22" t="str">
        <f t="shared" si="2"/>
        <v/>
      </c>
      <c r="I39" s="22" t="str">
        <f t="shared" si="0"/>
        <v/>
      </c>
      <c r="J39" s="22" t="str">
        <f t="shared" si="3"/>
        <v xml:space="preserve"> </v>
      </c>
      <c r="K39" s="23" t="str">
        <f t="shared" si="4"/>
        <v/>
      </c>
      <c r="L39" s="17"/>
      <c r="M39" s="18"/>
      <c r="N39" s="18"/>
    </row>
    <row r="40" spans="1:14">
      <c r="A40" s="25" t="s">
        <v>10</v>
      </c>
      <c r="B40" s="119">
        <f t="shared" ref="B40:J40" si="5">SUM(B9:B39)/(Date2-Date1+1)</f>
        <v>0</v>
      </c>
      <c r="C40" s="119">
        <f t="shared" si="5"/>
        <v>0</v>
      </c>
      <c r="D40" s="119">
        <f t="shared" si="5"/>
        <v>0</v>
      </c>
      <c r="E40" s="119">
        <f t="shared" si="5"/>
        <v>0</v>
      </c>
      <c r="F40" s="119">
        <f t="shared" si="5"/>
        <v>0</v>
      </c>
      <c r="G40" s="119">
        <f t="shared" si="5"/>
        <v>0</v>
      </c>
      <c r="H40" s="119">
        <f t="shared" si="5"/>
        <v>0</v>
      </c>
      <c r="I40" s="119">
        <f t="shared" si="5"/>
        <v>0</v>
      </c>
      <c r="J40" s="119">
        <f t="shared" si="5"/>
        <v>0</v>
      </c>
      <c r="K40" s="26">
        <f>SUM(K9:K39)/(Date2-Date1+1)</f>
        <v>0</v>
      </c>
      <c r="L40" s="17"/>
      <c r="M40" s="18"/>
      <c r="N40" s="18"/>
    </row>
    <row r="41" spans="1:14">
      <c r="A41" s="18"/>
      <c r="B41" s="18"/>
      <c r="C41" s="18"/>
      <c r="D41" s="5"/>
      <c r="E41" s="18"/>
      <c r="F41" s="18"/>
      <c r="G41" s="18"/>
      <c r="H41" s="18"/>
      <c r="I41" s="18"/>
      <c r="J41" s="18"/>
      <c r="K41" s="18"/>
      <c r="L41" s="18"/>
      <c r="M41" s="18"/>
      <c r="N41" s="18"/>
    </row>
    <row r="42" spans="1:14" s="42" customFormat="1">
      <c r="A42" s="18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0"/>
      <c r="M42" s="40"/>
      <c r="N42" s="40"/>
    </row>
    <row r="43" spans="1:14">
      <c r="A43" s="18"/>
      <c r="B43" s="18"/>
      <c r="C43" s="18"/>
      <c r="D43" s="5"/>
      <c r="E43" s="18"/>
      <c r="F43" s="18"/>
      <c r="G43" s="18"/>
      <c r="H43" s="18"/>
      <c r="I43" s="18"/>
      <c r="J43" s="18"/>
      <c r="K43" s="18"/>
      <c r="L43" s="18"/>
      <c r="M43" s="18"/>
      <c r="N43" s="18"/>
    </row>
    <row r="44" spans="1:14">
      <c r="A44" s="18"/>
      <c r="B44" s="18"/>
      <c r="C44" s="18"/>
      <c r="D44" s="5"/>
      <c r="E44" s="18"/>
      <c r="F44" s="18"/>
      <c r="G44" s="18"/>
      <c r="H44" s="18"/>
      <c r="I44" s="18"/>
      <c r="J44" s="18"/>
      <c r="K44" s="18"/>
      <c r="L44" s="18"/>
      <c r="M44" s="18"/>
      <c r="N44" s="18"/>
    </row>
  </sheetData>
  <sheetProtection password="A028" sheet="1"/>
  <mergeCells count="7">
    <mergeCell ref="H6:K6"/>
    <mergeCell ref="E6:E7"/>
    <mergeCell ref="F6:G6"/>
    <mergeCell ref="A6:A7"/>
    <mergeCell ref="B6:B7"/>
    <mergeCell ref="C6:C7"/>
    <mergeCell ref="D6:D7"/>
  </mergeCells>
  <phoneticPr fontId="0" type="noConversion"/>
  <printOptions horizontalCentered="1"/>
  <pageMargins left="0.25" right="0.25" top="0.25" bottom="0.25" header="0.5" footer="0.5"/>
  <pageSetup paperSize="9" scale="80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W48"/>
  <sheetViews>
    <sheetView showGridLines="0" topLeftCell="L16" zoomScaleNormal="100" workbookViewId="0">
      <selection activeCell="V39" sqref="V39"/>
    </sheetView>
  </sheetViews>
  <sheetFormatPr defaultRowHeight="12.75"/>
  <cols>
    <col min="1" max="1" width="6.5703125" customWidth="1"/>
    <col min="2" max="3" width="11.5703125" customWidth="1"/>
    <col min="4" max="5" width="11.140625" customWidth="1"/>
    <col min="6" max="9" width="12.5703125" customWidth="1"/>
    <col min="10" max="13" width="11.5703125" customWidth="1"/>
    <col min="14" max="21" width="13.5703125" customWidth="1"/>
    <col min="22" max="22" width="29.42578125" customWidth="1"/>
    <col min="23" max="16384" width="9.140625" style="70"/>
  </cols>
  <sheetData>
    <row r="1" spans="1:23" s="97" customFormat="1" ht="15">
      <c r="A1" s="185" t="s">
        <v>0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</row>
    <row r="2" spans="1:23" s="97" customFormat="1" ht="15">
      <c r="A2" s="186" t="s">
        <v>11</v>
      </c>
      <c r="B2" s="186"/>
      <c r="C2" s="186"/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</row>
    <row r="3" spans="1:23" s="97" customFormat="1" ht="15">
      <c r="A3" s="98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7"/>
      <c r="O3" s="7"/>
      <c r="P3" s="7"/>
      <c r="Q3" s="7"/>
      <c r="R3" s="7"/>
      <c r="S3" s="7"/>
      <c r="T3" s="7"/>
      <c r="U3" s="7"/>
      <c r="V3" s="3"/>
    </row>
    <row r="4" spans="1:23" s="97" customFormat="1" ht="35.25" customHeight="1">
      <c r="A4" s="187" t="s">
        <v>12</v>
      </c>
      <c r="B4" s="187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</row>
    <row r="5" spans="1:23" s="100" customFormat="1" ht="28.5" customHeight="1">
      <c r="A5" s="188" t="s">
        <v>42</v>
      </c>
      <c r="B5" s="189"/>
      <c r="C5" s="189"/>
      <c r="D5" s="189"/>
      <c r="E5" s="189"/>
      <c r="F5" s="189"/>
      <c r="G5" s="189"/>
      <c r="H5" s="189"/>
      <c r="I5" s="189"/>
      <c r="J5" s="189"/>
      <c r="K5" s="189"/>
      <c r="L5" s="189"/>
      <c r="M5" s="189"/>
      <c r="N5" s="189"/>
      <c r="O5" s="189"/>
      <c r="P5" s="190"/>
      <c r="Q5" s="190"/>
      <c r="R5" s="190"/>
      <c r="S5" s="190"/>
      <c r="T5" s="190"/>
      <c r="U5" s="190"/>
      <c r="V5" s="191"/>
      <c r="W5" s="99"/>
    </row>
    <row r="6" spans="1:23" s="97" customFormat="1" ht="86.25" customHeight="1">
      <c r="A6" s="101" t="s">
        <v>6</v>
      </c>
      <c r="B6" s="102" t="s">
        <v>13</v>
      </c>
      <c r="C6" s="103" t="s">
        <v>33</v>
      </c>
      <c r="D6" s="102" t="s">
        <v>14</v>
      </c>
      <c r="E6" s="103" t="s">
        <v>33</v>
      </c>
      <c r="F6" s="102" t="s">
        <v>15</v>
      </c>
      <c r="G6" s="103" t="s">
        <v>33</v>
      </c>
      <c r="H6" s="102" t="s">
        <v>69</v>
      </c>
      <c r="I6" s="103" t="s">
        <v>33</v>
      </c>
      <c r="J6" s="102" t="s">
        <v>16</v>
      </c>
      <c r="K6" s="103" t="s">
        <v>33</v>
      </c>
      <c r="L6" s="102" t="s">
        <v>70</v>
      </c>
      <c r="M6" s="103" t="s">
        <v>33</v>
      </c>
      <c r="N6" s="102" t="s">
        <v>17</v>
      </c>
      <c r="O6" s="103" t="s">
        <v>33</v>
      </c>
      <c r="P6" s="102" t="s">
        <v>71</v>
      </c>
      <c r="Q6" s="103" t="s">
        <v>33</v>
      </c>
      <c r="R6" s="102" t="s">
        <v>72</v>
      </c>
      <c r="S6" s="103" t="s">
        <v>33</v>
      </c>
      <c r="T6" s="102" t="s">
        <v>73</v>
      </c>
      <c r="U6" s="103" t="s">
        <v>33</v>
      </c>
      <c r="V6" s="96" t="s">
        <v>74</v>
      </c>
    </row>
    <row r="7" spans="1:23" s="97" customFormat="1">
      <c r="A7" s="104"/>
      <c r="B7" s="105">
        <v>1</v>
      </c>
      <c r="C7" s="105">
        <v>2</v>
      </c>
      <c r="D7" s="105">
        <v>3</v>
      </c>
      <c r="E7" s="105">
        <v>4</v>
      </c>
      <c r="F7" s="105">
        <v>5</v>
      </c>
      <c r="G7" s="105">
        <v>6</v>
      </c>
      <c r="H7" s="105">
        <v>7</v>
      </c>
      <c r="I7" s="105">
        <v>8</v>
      </c>
      <c r="J7" s="105">
        <v>9</v>
      </c>
      <c r="K7" s="105">
        <v>10</v>
      </c>
      <c r="L7" s="105">
        <v>11</v>
      </c>
      <c r="M7" s="105">
        <v>12</v>
      </c>
      <c r="N7" s="105">
        <v>13</v>
      </c>
      <c r="O7" s="105">
        <v>14</v>
      </c>
      <c r="P7" s="105">
        <v>15</v>
      </c>
      <c r="Q7" s="105">
        <v>16</v>
      </c>
      <c r="R7" s="105">
        <v>17</v>
      </c>
      <c r="S7" s="105">
        <v>18</v>
      </c>
      <c r="T7" s="105">
        <v>19</v>
      </c>
      <c r="U7" s="105">
        <v>20</v>
      </c>
      <c r="V7" s="106">
        <v>21</v>
      </c>
    </row>
    <row r="8" spans="1:23">
      <c r="A8" s="92">
        <v>1</v>
      </c>
      <c r="B8" s="94"/>
      <c r="C8" s="94"/>
      <c r="D8" s="94"/>
      <c r="E8" s="94"/>
      <c r="F8" s="95"/>
      <c r="G8" s="95"/>
      <c r="H8" s="95"/>
      <c r="I8" s="95"/>
      <c r="J8" s="95"/>
      <c r="K8" s="95"/>
      <c r="L8" s="95"/>
      <c r="M8" s="95"/>
      <c r="N8" s="95"/>
      <c r="O8" s="93"/>
      <c r="P8" s="93"/>
      <c r="Q8" s="93"/>
      <c r="R8" s="93"/>
      <c r="S8" s="93"/>
      <c r="T8" s="93"/>
      <c r="U8" s="93"/>
      <c r="V8" s="165">
        <f>(D8-E8)*0.1+(F8-G8)*0.2+(H8-I8)*0.3+(J8-K8)*0.5+(L8-M8)*0.75+(N8-O8)+(P8-Q8)*1.1+(R8-S8)*1.5+(T8-U8)*2.25</f>
        <v>0</v>
      </c>
    </row>
    <row r="9" spans="1:23">
      <c r="A9" s="29">
        <v>2</v>
      </c>
      <c r="B9" s="30"/>
      <c r="C9" s="30"/>
      <c r="D9" s="30"/>
      <c r="E9" s="30"/>
      <c r="F9" s="31"/>
      <c r="G9" s="31"/>
      <c r="H9" s="31"/>
      <c r="I9" s="31"/>
      <c r="J9" s="31"/>
      <c r="K9" s="31"/>
      <c r="L9" s="31"/>
      <c r="M9" s="31"/>
      <c r="N9" s="31"/>
      <c r="O9" s="32"/>
      <c r="P9" s="32"/>
      <c r="Q9" s="32"/>
      <c r="R9" s="32"/>
      <c r="S9" s="32"/>
      <c r="T9" s="32"/>
      <c r="U9" s="32"/>
      <c r="V9" s="165">
        <f t="shared" ref="V9:V38" si="0">(D9-E9)*0.1+(F9-G9)*0.2+(H9-I9)*0.3+(J9-K9)*0.5+(L9-M9)*0.75+(N9-O9)+(P9-Q9)*1.1+(R9-S9)*1.5+(T9-U9)*2.25</f>
        <v>0</v>
      </c>
    </row>
    <row r="10" spans="1:23">
      <c r="A10" s="29">
        <v>3</v>
      </c>
      <c r="B10" s="30"/>
      <c r="C10" s="30"/>
      <c r="D10" s="30"/>
      <c r="E10" s="30"/>
      <c r="F10" s="31"/>
      <c r="G10" s="31"/>
      <c r="H10" s="31"/>
      <c r="I10" s="31"/>
      <c r="J10" s="31"/>
      <c r="K10" s="31"/>
      <c r="L10" s="31"/>
      <c r="M10" s="31"/>
      <c r="N10" s="31"/>
      <c r="O10" s="32"/>
      <c r="P10" s="32"/>
      <c r="Q10" s="32"/>
      <c r="R10" s="32"/>
      <c r="S10" s="32"/>
      <c r="T10" s="32"/>
      <c r="U10" s="32"/>
      <c r="V10" s="165">
        <f t="shared" si="0"/>
        <v>0</v>
      </c>
    </row>
    <row r="11" spans="1:23">
      <c r="A11" s="29">
        <v>4</v>
      </c>
      <c r="B11" s="30"/>
      <c r="C11" s="30"/>
      <c r="D11" s="30"/>
      <c r="E11" s="30"/>
      <c r="F11" s="31"/>
      <c r="G11" s="31"/>
      <c r="H11" s="31"/>
      <c r="I11" s="31"/>
      <c r="J11" s="31"/>
      <c r="K11" s="31"/>
      <c r="L11" s="31"/>
      <c r="M11" s="31"/>
      <c r="N11" s="31"/>
      <c r="O11" s="32"/>
      <c r="P11" s="32"/>
      <c r="Q11" s="32"/>
      <c r="R11" s="32"/>
      <c r="S11" s="32"/>
      <c r="T11" s="32"/>
      <c r="U11" s="32"/>
      <c r="V11" s="165">
        <f t="shared" si="0"/>
        <v>0</v>
      </c>
    </row>
    <row r="12" spans="1:23">
      <c r="A12" s="29">
        <v>5</v>
      </c>
      <c r="B12" s="30"/>
      <c r="C12" s="30"/>
      <c r="D12" s="30"/>
      <c r="E12" s="30"/>
      <c r="F12" s="31"/>
      <c r="G12" s="31"/>
      <c r="H12" s="31"/>
      <c r="I12" s="31"/>
      <c r="J12" s="31"/>
      <c r="K12" s="31"/>
      <c r="L12" s="31"/>
      <c r="M12" s="31"/>
      <c r="N12" s="31"/>
      <c r="O12" s="32"/>
      <c r="P12" s="32"/>
      <c r="Q12" s="32"/>
      <c r="R12" s="32"/>
      <c r="S12" s="32"/>
      <c r="T12" s="32"/>
      <c r="U12" s="32"/>
      <c r="V12" s="165">
        <f t="shared" si="0"/>
        <v>0</v>
      </c>
    </row>
    <row r="13" spans="1:23">
      <c r="A13" s="29">
        <v>6</v>
      </c>
      <c r="B13" s="30"/>
      <c r="C13" s="30"/>
      <c r="D13" s="30"/>
      <c r="E13" s="30"/>
      <c r="F13" s="31"/>
      <c r="G13" s="31"/>
      <c r="H13" s="31"/>
      <c r="I13" s="31"/>
      <c r="J13" s="31"/>
      <c r="K13" s="31"/>
      <c r="L13" s="31"/>
      <c r="M13" s="31"/>
      <c r="N13" s="31"/>
      <c r="O13" s="32"/>
      <c r="P13" s="32"/>
      <c r="Q13" s="32"/>
      <c r="R13" s="32"/>
      <c r="S13" s="32"/>
      <c r="T13" s="32"/>
      <c r="U13" s="32"/>
      <c r="V13" s="165">
        <f t="shared" si="0"/>
        <v>0</v>
      </c>
    </row>
    <row r="14" spans="1:23">
      <c r="A14" s="29">
        <v>7</v>
      </c>
      <c r="B14" s="30"/>
      <c r="C14" s="30"/>
      <c r="D14" s="30"/>
      <c r="E14" s="30"/>
      <c r="F14" s="31"/>
      <c r="G14" s="31"/>
      <c r="H14" s="31"/>
      <c r="I14" s="31"/>
      <c r="J14" s="31"/>
      <c r="K14" s="31"/>
      <c r="L14" s="31"/>
      <c r="M14" s="31"/>
      <c r="N14" s="31"/>
      <c r="O14" s="32"/>
      <c r="P14" s="32"/>
      <c r="Q14" s="32"/>
      <c r="R14" s="32"/>
      <c r="S14" s="32"/>
      <c r="T14" s="32"/>
      <c r="U14" s="32"/>
      <c r="V14" s="165">
        <f t="shared" si="0"/>
        <v>0</v>
      </c>
    </row>
    <row r="15" spans="1:23">
      <c r="A15" s="29">
        <v>8</v>
      </c>
      <c r="B15" s="30"/>
      <c r="C15" s="30"/>
      <c r="D15" s="30"/>
      <c r="E15" s="30"/>
      <c r="F15" s="31"/>
      <c r="G15" s="31"/>
      <c r="H15" s="31"/>
      <c r="I15" s="31"/>
      <c r="J15" s="31"/>
      <c r="K15" s="31"/>
      <c r="L15" s="31"/>
      <c r="M15" s="31"/>
      <c r="N15" s="31"/>
      <c r="O15" s="32"/>
      <c r="P15" s="32"/>
      <c r="Q15" s="32"/>
      <c r="R15" s="32"/>
      <c r="S15" s="32"/>
      <c r="T15" s="32"/>
      <c r="U15" s="32"/>
      <c r="V15" s="165">
        <f t="shared" si="0"/>
        <v>0</v>
      </c>
    </row>
    <row r="16" spans="1:23">
      <c r="A16" s="29">
        <v>9</v>
      </c>
      <c r="B16" s="30"/>
      <c r="C16" s="30"/>
      <c r="D16" s="30"/>
      <c r="E16" s="30"/>
      <c r="F16" s="31"/>
      <c r="G16" s="31"/>
      <c r="H16" s="31"/>
      <c r="I16" s="31"/>
      <c r="J16" s="31"/>
      <c r="K16" s="31"/>
      <c r="L16" s="31"/>
      <c r="M16" s="31"/>
      <c r="N16" s="31"/>
      <c r="O16" s="32"/>
      <c r="P16" s="32"/>
      <c r="Q16" s="32"/>
      <c r="R16" s="32"/>
      <c r="S16" s="32"/>
      <c r="T16" s="32"/>
      <c r="U16" s="32"/>
      <c r="V16" s="165">
        <f t="shared" si="0"/>
        <v>0</v>
      </c>
    </row>
    <row r="17" spans="1:22">
      <c r="A17" s="29">
        <v>10</v>
      </c>
      <c r="B17" s="30"/>
      <c r="C17" s="30"/>
      <c r="D17" s="30"/>
      <c r="E17" s="30"/>
      <c r="F17" s="31"/>
      <c r="G17" s="31"/>
      <c r="H17" s="31"/>
      <c r="I17" s="31"/>
      <c r="J17" s="31"/>
      <c r="K17" s="31"/>
      <c r="L17" s="31"/>
      <c r="M17" s="31"/>
      <c r="N17" s="31"/>
      <c r="O17" s="32"/>
      <c r="P17" s="32"/>
      <c r="Q17" s="32"/>
      <c r="R17" s="32"/>
      <c r="S17" s="32"/>
      <c r="T17" s="32"/>
      <c r="U17" s="32"/>
      <c r="V17" s="165">
        <f t="shared" si="0"/>
        <v>0</v>
      </c>
    </row>
    <row r="18" spans="1:22">
      <c r="A18" s="29">
        <v>11</v>
      </c>
      <c r="B18" s="30"/>
      <c r="C18" s="30"/>
      <c r="D18" s="30"/>
      <c r="E18" s="30"/>
      <c r="F18" s="31"/>
      <c r="G18" s="31"/>
      <c r="H18" s="31"/>
      <c r="I18" s="31"/>
      <c r="J18" s="31"/>
      <c r="K18" s="31"/>
      <c r="L18" s="31"/>
      <c r="M18" s="31"/>
      <c r="N18" s="31"/>
      <c r="O18" s="32"/>
      <c r="P18" s="32"/>
      <c r="Q18" s="32"/>
      <c r="R18" s="32"/>
      <c r="S18" s="32"/>
      <c r="T18" s="32"/>
      <c r="U18" s="32"/>
      <c r="V18" s="165">
        <f t="shared" si="0"/>
        <v>0</v>
      </c>
    </row>
    <row r="19" spans="1:22">
      <c r="A19" s="29">
        <v>12</v>
      </c>
      <c r="B19" s="30"/>
      <c r="C19" s="30"/>
      <c r="D19" s="30"/>
      <c r="E19" s="30"/>
      <c r="F19" s="31"/>
      <c r="G19" s="31"/>
      <c r="H19" s="31"/>
      <c r="I19" s="31"/>
      <c r="J19" s="31"/>
      <c r="K19" s="31"/>
      <c r="L19" s="31"/>
      <c r="M19" s="31"/>
      <c r="N19" s="31"/>
      <c r="O19" s="32"/>
      <c r="P19" s="32"/>
      <c r="Q19" s="32"/>
      <c r="R19" s="32"/>
      <c r="S19" s="32"/>
      <c r="T19" s="32"/>
      <c r="U19" s="32"/>
      <c r="V19" s="165">
        <f t="shared" si="0"/>
        <v>0</v>
      </c>
    </row>
    <row r="20" spans="1:22">
      <c r="A20" s="29">
        <v>13</v>
      </c>
      <c r="B20" s="30"/>
      <c r="C20" s="30"/>
      <c r="D20" s="30"/>
      <c r="E20" s="30"/>
      <c r="F20" s="31"/>
      <c r="G20" s="31"/>
      <c r="H20" s="31"/>
      <c r="I20" s="31"/>
      <c r="J20" s="31"/>
      <c r="K20" s="31"/>
      <c r="L20" s="31"/>
      <c r="M20" s="31"/>
      <c r="N20" s="31"/>
      <c r="O20" s="32"/>
      <c r="P20" s="32"/>
      <c r="Q20" s="32"/>
      <c r="R20" s="32"/>
      <c r="S20" s="32"/>
      <c r="T20" s="32"/>
      <c r="U20" s="32"/>
      <c r="V20" s="165">
        <f t="shared" si="0"/>
        <v>0</v>
      </c>
    </row>
    <row r="21" spans="1:22">
      <c r="A21" s="29">
        <v>14</v>
      </c>
      <c r="B21" s="30"/>
      <c r="C21" s="30"/>
      <c r="D21" s="30"/>
      <c r="E21" s="30"/>
      <c r="F21" s="31"/>
      <c r="G21" s="31"/>
      <c r="H21" s="31"/>
      <c r="I21" s="31"/>
      <c r="J21" s="31"/>
      <c r="K21" s="31"/>
      <c r="L21" s="31"/>
      <c r="M21" s="31"/>
      <c r="N21" s="31"/>
      <c r="O21" s="32"/>
      <c r="P21" s="32"/>
      <c r="Q21" s="32"/>
      <c r="R21" s="32"/>
      <c r="S21" s="32"/>
      <c r="T21" s="32"/>
      <c r="U21" s="32"/>
      <c r="V21" s="165">
        <f t="shared" si="0"/>
        <v>0</v>
      </c>
    </row>
    <row r="22" spans="1:22">
      <c r="A22" s="29">
        <v>15</v>
      </c>
      <c r="B22" s="30"/>
      <c r="C22" s="30"/>
      <c r="D22" s="30"/>
      <c r="E22" s="30"/>
      <c r="F22" s="31"/>
      <c r="G22" s="31"/>
      <c r="H22" s="31"/>
      <c r="I22" s="31"/>
      <c r="J22" s="31"/>
      <c r="K22" s="31"/>
      <c r="L22" s="31"/>
      <c r="M22" s="31"/>
      <c r="N22" s="31"/>
      <c r="O22" s="32"/>
      <c r="P22" s="32"/>
      <c r="Q22" s="32"/>
      <c r="R22" s="32"/>
      <c r="S22" s="32"/>
      <c r="T22" s="32"/>
      <c r="U22" s="32"/>
      <c r="V22" s="165">
        <f t="shared" si="0"/>
        <v>0</v>
      </c>
    </row>
    <row r="23" spans="1:22">
      <c r="A23" s="29">
        <v>16</v>
      </c>
      <c r="B23" s="30"/>
      <c r="C23" s="30"/>
      <c r="D23" s="30"/>
      <c r="E23" s="30"/>
      <c r="F23" s="31"/>
      <c r="G23" s="31"/>
      <c r="H23" s="31"/>
      <c r="I23" s="31"/>
      <c r="J23" s="31"/>
      <c r="K23" s="31"/>
      <c r="L23" s="31"/>
      <c r="M23" s="31"/>
      <c r="N23" s="31"/>
      <c r="O23" s="32"/>
      <c r="P23" s="32"/>
      <c r="Q23" s="32"/>
      <c r="R23" s="32"/>
      <c r="S23" s="32"/>
      <c r="T23" s="32"/>
      <c r="U23" s="32"/>
      <c r="V23" s="165">
        <f t="shared" si="0"/>
        <v>0</v>
      </c>
    </row>
    <row r="24" spans="1:22">
      <c r="A24" s="29">
        <v>17</v>
      </c>
      <c r="B24" s="30"/>
      <c r="C24" s="30"/>
      <c r="D24" s="30"/>
      <c r="E24" s="30"/>
      <c r="F24" s="31"/>
      <c r="G24" s="31"/>
      <c r="H24" s="31"/>
      <c r="I24" s="31"/>
      <c r="J24" s="31"/>
      <c r="K24" s="31"/>
      <c r="L24" s="31"/>
      <c r="M24" s="31"/>
      <c r="N24" s="31"/>
      <c r="O24" s="32"/>
      <c r="P24" s="32"/>
      <c r="Q24" s="32"/>
      <c r="R24" s="32"/>
      <c r="S24" s="32"/>
      <c r="T24" s="32"/>
      <c r="U24" s="32"/>
      <c r="V24" s="165">
        <f t="shared" si="0"/>
        <v>0</v>
      </c>
    </row>
    <row r="25" spans="1:22">
      <c r="A25" s="29">
        <v>18</v>
      </c>
      <c r="B25" s="30"/>
      <c r="C25" s="30"/>
      <c r="D25" s="30"/>
      <c r="E25" s="30"/>
      <c r="F25" s="31"/>
      <c r="G25" s="31"/>
      <c r="H25" s="31"/>
      <c r="I25" s="31"/>
      <c r="J25" s="31"/>
      <c r="K25" s="31"/>
      <c r="L25" s="31"/>
      <c r="M25" s="31"/>
      <c r="N25" s="31"/>
      <c r="O25" s="32"/>
      <c r="P25" s="32"/>
      <c r="Q25" s="32"/>
      <c r="R25" s="32"/>
      <c r="S25" s="32"/>
      <c r="T25" s="32"/>
      <c r="U25" s="32"/>
      <c r="V25" s="165">
        <f t="shared" si="0"/>
        <v>0</v>
      </c>
    </row>
    <row r="26" spans="1:22">
      <c r="A26" s="29">
        <v>19</v>
      </c>
      <c r="B26" s="30"/>
      <c r="C26" s="30"/>
      <c r="D26" s="30"/>
      <c r="E26" s="30"/>
      <c r="F26" s="31"/>
      <c r="G26" s="31"/>
      <c r="H26" s="31"/>
      <c r="I26" s="31"/>
      <c r="J26" s="31"/>
      <c r="K26" s="31"/>
      <c r="L26" s="31"/>
      <c r="M26" s="31"/>
      <c r="N26" s="31"/>
      <c r="O26" s="32"/>
      <c r="P26" s="32"/>
      <c r="Q26" s="32"/>
      <c r="R26" s="32"/>
      <c r="S26" s="32"/>
      <c r="T26" s="32"/>
      <c r="U26" s="32"/>
      <c r="V26" s="165">
        <f t="shared" si="0"/>
        <v>0</v>
      </c>
    </row>
    <row r="27" spans="1:22">
      <c r="A27" s="29">
        <v>20</v>
      </c>
      <c r="B27" s="30"/>
      <c r="C27" s="30"/>
      <c r="D27" s="30"/>
      <c r="E27" s="30"/>
      <c r="F27" s="31"/>
      <c r="G27" s="31"/>
      <c r="H27" s="31"/>
      <c r="I27" s="31"/>
      <c r="J27" s="31"/>
      <c r="K27" s="31"/>
      <c r="L27" s="31"/>
      <c r="M27" s="31"/>
      <c r="N27" s="31"/>
      <c r="O27" s="32"/>
      <c r="P27" s="32"/>
      <c r="Q27" s="32"/>
      <c r="R27" s="32"/>
      <c r="S27" s="32"/>
      <c r="T27" s="32"/>
      <c r="U27" s="32"/>
      <c r="V27" s="165">
        <f t="shared" si="0"/>
        <v>0</v>
      </c>
    </row>
    <row r="28" spans="1:22">
      <c r="A28" s="29">
        <v>21</v>
      </c>
      <c r="B28" s="30"/>
      <c r="C28" s="30"/>
      <c r="D28" s="30"/>
      <c r="E28" s="30"/>
      <c r="F28" s="31"/>
      <c r="G28" s="31"/>
      <c r="H28" s="31"/>
      <c r="I28" s="31"/>
      <c r="J28" s="31"/>
      <c r="K28" s="31"/>
      <c r="L28" s="31"/>
      <c r="M28" s="31"/>
      <c r="N28" s="31"/>
      <c r="O28" s="32"/>
      <c r="P28" s="32"/>
      <c r="Q28" s="32"/>
      <c r="R28" s="32"/>
      <c r="S28" s="32"/>
      <c r="T28" s="32"/>
      <c r="U28" s="32"/>
      <c r="V28" s="165">
        <f t="shared" si="0"/>
        <v>0</v>
      </c>
    </row>
    <row r="29" spans="1:22">
      <c r="A29" s="29">
        <v>22</v>
      </c>
      <c r="B29" s="30"/>
      <c r="C29" s="30"/>
      <c r="D29" s="30"/>
      <c r="E29" s="30"/>
      <c r="F29" s="31"/>
      <c r="G29" s="31"/>
      <c r="H29" s="31"/>
      <c r="I29" s="31"/>
      <c r="J29" s="31"/>
      <c r="K29" s="31"/>
      <c r="L29" s="31"/>
      <c r="M29" s="31"/>
      <c r="N29" s="31"/>
      <c r="O29" s="32"/>
      <c r="P29" s="32"/>
      <c r="Q29" s="32"/>
      <c r="R29" s="32"/>
      <c r="S29" s="32"/>
      <c r="T29" s="32"/>
      <c r="U29" s="32"/>
      <c r="V29" s="165">
        <f t="shared" si="0"/>
        <v>0</v>
      </c>
    </row>
    <row r="30" spans="1:22">
      <c r="A30" s="29">
        <v>23</v>
      </c>
      <c r="B30" s="30"/>
      <c r="C30" s="30"/>
      <c r="D30" s="30"/>
      <c r="E30" s="30"/>
      <c r="F30" s="31"/>
      <c r="G30" s="31"/>
      <c r="H30" s="31"/>
      <c r="I30" s="31"/>
      <c r="J30" s="31"/>
      <c r="K30" s="31"/>
      <c r="L30" s="31"/>
      <c r="M30" s="31"/>
      <c r="N30" s="31"/>
      <c r="O30" s="32"/>
      <c r="P30" s="32"/>
      <c r="Q30" s="32"/>
      <c r="R30" s="32"/>
      <c r="S30" s="32"/>
      <c r="T30" s="32"/>
      <c r="U30" s="32"/>
      <c r="V30" s="165">
        <f t="shared" si="0"/>
        <v>0</v>
      </c>
    </row>
    <row r="31" spans="1:22">
      <c r="A31" s="29">
        <v>24</v>
      </c>
      <c r="B31" s="30"/>
      <c r="C31" s="30"/>
      <c r="D31" s="30"/>
      <c r="E31" s="30"/>
      <c r="F31" s="31"/>
      <c r="G31" s="31"/>
      <c r="H31" s="31"/>
      <c r="I31" s="31"/>
      <c r="J31" s="31"/>
      <c r="K31" s="31"/>
      <c r="L31" s="31"/>
      <c r="M31" s="31"/>
      <c r="N31" s="31"/>
      <c r="O31" s="32"/>
      <c r="P31" s="32"/>
      <c r="Q31" s="32"/>
      <c r="R31" s="32"/>
      <c r="S31" s="32"/>
      <c r="T31" s="32"/>
      <c r="U31" s="32"/>
      <c r="V31" s="165">
        <f t="shared" si="0"/>
        <v>0</v>
      </c>
    </row>
    <row r="32" spans="1:22">
      <c r="A32" s="29">
        <v>25</v>
      </c>
      <c r="B32" s="30"/>
      <c r="C32" s="30"/>
      <c r="D32" s="30"/>
      <c r="E32" s="30"/>
      <c r="F32" s="31"/>
      <c r="G32" s="31"/>
      <c r="H32" s="31"/>
      <c r="I32" s="31"/>
      <c r="J32" s="31"/>
      <c r="K32" s="31"/>
      <c r="L32" s="31"/>
      <c r="M32" s="31"/>
      <c r="N32" s="31"/>
      <c r="O32" s="32"/>
      <c r="P32" s="32"/>
      <c r="Q32" s="32"/>
      <c r="R32" s="32"/>
      <c r="S32" s="32"/>
      <c r="T32" s="32"/>
      <c r="U32" s="32"/>
      <c r="V32" s="165">
        <f t="shared" si="0"/>
        <v>0</v>
      </c>
    </row>
    <row r="33" spans="1:22">
      <c r="A33" s="29">
        <v>26</v>
      </c>
      <c r="B33" s="30"/>
      <c r="C33" s="30"/>
      <c r="D33" s="30"/>
      <c r="E33" s="30"/>
      <c r="F33" s="31"/>
      <c r="G33" s="31"/>
      <c r="H33" s="31"/>
      <c r="I33" s="31"/>
      <c r="J33" s="31"/>
      <c r="K33" s="31"/>
      <c r="L33" s="31"/>
      <c r="M33" s="31"/>
      <c r="N33" s="31"/>
      <c r="O33" s="32"/>
      <c r="P33" s="32"/>
      <c r="Q33" s="32"/>
      <c r="R33" s="32"/>
      <c r="S33" s="32"/>
      <c r="T33" s="32"/>
      <c r="U33" s="32"/>
      <c r="V33" s="165">
        <f t="shared" si="0"/>
        <v>0</v>
      </c>
    </row>
    <row r="34" spans="1:22">
      <c r="A34" s="29">
        <v>27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2"/>
      <c r="P34" s="32"/>
      <c r="Q34" s="32"/>
      <c r="R34" s="32"/>
      <c r="S34" s="32"/>
      <c r="T34" s="32"/>
      <c r="U34" s="32"/>
      <c r="V34" s="165">
        <f t="shared" si="0"/>
        <v>0</v>
      </c>
    </row>
    <row r="35" spans="1:22">
      <c r="A35" s="29">
        <v>28</v>
      </c>
      <c r="B35" s="30"/>
      <c r="C35" s="30"/>
      <c r="D35" s="30"/>
      <c r="E35" s="30"/>
      <c r="F35" s="31"/>
      <c r="G35" s="31"/>
      <c r="H35" s="31"/>
      <c r="I35" s="31"/>
      <c r="J35" s="31"/>
      <c r="K35" s="31"/>
      <c r="L35" s="31"/>
      <c r="M35" s="31"/>
      <c r="N35" s="31"/>
      <c r="O35" s="32"/>
      <c r="P35" s="32"/>
      <c r="Q35" s="32"/>
      <c r="R35" s="32"/>
      <c r="S35" s="32"/>
      <c r="T35" s="32"/>
      <c r="U35" s="32"/>
      <c r="V35" s="165">
        <f t="shared" si="0"/>
        <v>0</v>
      </c>
    </row>
    <row r="36" spans="1:22">
      <c r="A36" s="29">
        <v>29</v>
      </c>
      <c r="B36" s="30"/>
      <c r="C36" s="30"/>
      <c r="D36" s="30"/>
      <c r="E36" s="30"/>
      <c r="F36" s="31"/>
      <c r="G36" s="31"/>
      <c r="H36" s="31"/>
      <c r="I36" s="31"/>
      <c r="J36" s="31"/>
      <c r="K36" s="31"/>
      <c r="L36" s="31"/>
      <c r="M36" s="31"/>
      <c r="N36" s="31"/>
      <c r="O36" s="32"/>
      <c r="P36" s="32"/>
      <c r="Q36" s="32"/>
      <c r="R36" s="32"/>
      <c r="S36" s="32"/>
      <c r="T36" s="32"/>
      <c r="U36" s="32"/>
      <c r="V36" s="165">
        <f t="shared" si="0"/>
        <v>0</v>
      </c>
    </row>
    <row r="37" spans="1:22">
      <c r="A37" s="29">
        <v>30</v>
      </c>
      <c r="B37" s="30"/>
      <c r="C37" s="30"/>
      <c r="D37" s="30"/>
      <c r="E37" s="30"/>
      <c r="F37" s="31"/>
      <c r="G37" s="31"/>
      <c r="H37" s="31"/>
      <c r="I37" s="31"/>
      <c r="J37" s="31"/>
      <c r="K37" s="31"/>
      <c r="L37" s="31"/>
      <c r="M37" s="31"/>
      <c r="N37" s="31"/>
      <c r="O37" s="32"/>
      <c r="P37" s="32"/>
      <c r="Q37" s="32"/>
      <c r="R37" s="32"/>
      <c r="S37" s="32"/>
      <c r="T37" s="32"/>
      <c r="U37" s="32"/>
      <c r="V37" s="165">
        <f t="shared" si="0"/>
        <v>0</v>
      </c>
    </row>
    <row r="38" spans="1:22">
      <c r="A38" s="56">
        <v>31</v>
      </c>
      <c r="B38" s="33"/>
      <c r="C38" s="33"/>
      <c r="D38" s="33"/>
      <c r="E38" s="33"/>
      <c r="F38" s="34"/>
      <c r="G38" s="34"/>
      <c r="H38" s="34"/>
      <c r="I38" s="34"/>
      <c r="J38" s="34"/>
      <c r="K38" s="34"/>
      <c r="L38" s="34"/>
      <c r="M38" s="34"/>
      <c r="N38" s="34"/>
      <c r="O38" s="32"/>
      <c r="P38" s="32"/>
      <c r="Q38" s="32"/>
      <c r="R38" s="32"/>
      <c r="S38" s="32"/>
      <c r="T38" s="32"/>
      <c r="U38" s="32"/>
      <c r="V38" s="165">
        <f t="shared" si="0"/>
        <v>0</v>
      </c>
    </row>
    <row r="39" spans="1:22" ht="24">
      <c r="A39" s="35" t="s">
        <v>10</v>
      </c>
      <c r="B39" s="36">
        <f t="shared" ref="B39:V39" si="1">SUM(B8:B38)/(Date2-Date1+1)</f>
        <v>0</v>
      </c>
      <c r="C39" s="36">
        <f t="shared" si="1"/>
        <v>0</v>
      </c>
      <c r="D39" s="36">
        <f t="shared" si="1"/>
        <v>0</v>
      </c>
      <c r="E39" s="36">
        <f t="shared" si="1"/>
        <v>0</v>
      </c>
      <c r="F39" s="36">
        <f t="shared" si="1"/>
        <v>0</v>
      </c>
      <c r="G39" s="36">
        <f t="shared" si="1"/>
        <v>0</v>
      </c>
      <c r="H39" s="36">
        <f t="shared" si="1"/>
        <v>0</v>
      </c>
      <c r="I39" s="36">
        <f t="shared" si="1"/>
        <v>0</v>
      </c>
      <c r="J39" s="36">
        <f t="shared" si="1"/>
        <v>0</v>
      </c>
      <c r="K39" s="36">
        <f t="shared" si="1"/>
        <v>0</v>
      </c>
      <c r="L39" s="36">
        <f t="shared" si="1"/>
        <v>0</v>
      </c>
      <c r="M39" s="36">
        <f t="shared" si="1"/>
        <v>0</v>
      </c>
      <c r="N39" s="36">
        <f t="shared" si="1"/>
        <v>0</v>
      </c>
      <c r="O39" s="36">
        <f t="shared" si="1"/>
        <v>0</v>
      </c>
      <c r="P39" s="36">
        <f t="shared" si="1"/>
        <v>0</v>
      </c>
      <c r="Q39" s="36">
        <f t="shared" si="1"/>
        <v>0</v>
      </c>
      <c r="R39" s="36">
        <f t="shared" si="1"/>
        <v>0</v>
      </c>
      <c r="S39" s="36">
        <f t="shared" si="1"/>
        <v>0</v>
      </c>
      <c r="T39" s="36">
        <f t="shared" si="1"/>
        <v>0</v>
      </c>
      <c r="U39" s="36">
        <f t="shared" si="1"/>
        <v>0</v>
      </c>
      <c r="V39" s="37">
        <f t="shared" si="1"/>
        <v>0</v>
      </c>
    </row>
    <row r="40" spans="1:22" s="71" customFormat="1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18"/>
      <c r="O40" s="18"/>
      <c r="P40" s="18"/>
      <c r="Q40" s="18"/>
      <c r="R40" s="18"/>
      <c r="S40" s="18"/>
      <c r="T40" s="18"/>
      <c r="U40" s="18"/>
      <c r="V40" s="18"/>
    </row>
    <row r="41" spans="1:22" s="71" customFormat="1">
      <c r="A41" s="39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</row>
    <row r="42" spans="1:22" s="71" customFormat="1">
      <c r="A42" s="2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</row>
    <row r="43" spans="1:22" s="72" customFormat="1">
      <c r="A43" s="40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</row>
    <row r="44" spans="1:22" s="72" customFormat="1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</row>
    <row r="45" spans="1:22" s="71" customForma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</row>
    <row r="46" spans="1:22" s="71" customForma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</row>
    <row r="47" spans="1:22" s="71" customForma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</row>
    <row r="48" spans="1:22" s="71" customForma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</row>
  </sheetData>
  <sheetProtection password="A028" sheet="1"/>
  <mergeCells count="4">
    <mergeCell ref="A1:V1"/>
    <mergeCell ref="A2:V2"/>
    <mergeCell ref="A4:V4"/>
    <mergeCell ref="A5:V5"/>
  </mergeCells>
  <phoneticPr fontId="0" type="noConversion"/>
  <printOptions horizontalCentered="1"/>
  <pageMargins left="0" right="0" top="0.25" bottom="0.25" header="0.5" footer="0.5"/>
  <pageSetup paperSize="9" scale="93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V45"/>
  <sheetViews>
    <sheetView showGridLines="0" topLeftCell="I13" zoomScaleNormal="100" workbookViewId="0">
      <selection activeCell="Q47" sqref="Q47"/>
    </sheetView>
  </sheetViews>
  <sheetFormatPr defaultRowHeight="12.75"/>
  <cols>
    <col min="1" max="1" width="6.5703125" customWidth="1"/>
    <col min="2" max="2" width="10.7109375" customWidth="1"/>
    <col min="3" max="3" width="10.28515625" customWidth="1"/>
    <col min="4" max="4" width="11.5703125" customWidth="1"/>
    <col min="5" max="5" width="11" customWidth="1"/>
    <col min="6" max="6" width="12.140625" style="27" customWidth="1"/>
    <col min="7" max="9" width="11.5703125" style="27" customWidth="1"/>
    <col min="10" max="10" width="10" style="27" customWidth="1"/>
    <col min="11" max="13" width="12" style="27" customWidth="1"/>
    <col min="14" max="14" width="13.7109375" customWidth="1"/>
    <col min="15" max="21" width="11.28515625" customWidth="1"/>
    <col min="22" max="22" width="23.140625" customWidth="1"/>
    <col min="23" max="23" width="9.85546875" customWidth="1"/>
    <col min="24" max="24" width="12.28515625" customWidth="1"/>
    <col min="25" max="25" width="12.42578125" customWidth="1"/>
    <col min="26" max="26" width="11.85546875" customWidth="1"/>
    <col min="27" max="27" width="13.5703125" customWidth="1"/>
  </cols>
  <sheetData>
    <row r="1" spans="1:22" ht="15.75" customHeight="1">
      <c r="A1" s="199" t="s">
        <v>0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</row>
    <row r="2" spans="1:22" ht="15">
      <c r="A2" s="200" t="s">
        <v>11</v>
      </c>
      <c r="B2" s="200"/>
      <c r="C2" s="200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</row>
    <row r="3" spans="1:22">
      <c r="A3" s="50"/>
      <c r="B3" s="107"/>
      <c r="C3" s="59"/>
      <c r="D3" s="107"/>
      <c r="E3" s="69"/>
      <c r="F3" s="69"/>
      <c r="G3" s="44"/>
      <c r="H3" s="44"/>
      <c r="I3" s="44"/>
      <c r="J3" s="44"/>
      <c r="K3" s="44"/>
      <c r="L3" s="44"/>
      <c r="M3" s="44"/>
      <c r="N3" s="44"/>
      <c r="O3" s="19"/>
      <c r="P3" s="19"/>
      <c r="Q3" s="19"/>
      <c r="R3" s="19"/>
      <c r="S3" s="19"/>
      <c r="T3" s="19"/>
      <c r="U3" s="19"/>
    </row>
    <row r="4" spans="1:22" ht="18.75" customHeight="1">
      <c r="A4" s="192" t="s">
        <v>12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4"/>
      <c r="Q4" s="194"/>
      <c r="R4" s="194"/>
      <c r="S4" s="194"/>
      <c r="T4" s="194"/>
      <c r="U4" s="194"/>
      <c r="V4" s="194"/>
    </row>
    <row r="5" spans="1:22" ht="27.75" customHeight="1">
      <c r="A5" s="195" t="s">
        <v>34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  <c r="N5" s="196"/>
      <c r="O5" s="196"/>
      <c r="P5" s="197"/>
      <c r="Q5" s="197"/>
      <c r="R5" s="197"/>
      <c r="S5" s="197"/>
      <c r="T5" s="197"/>
      <c r="U5" s="197"/>
      <c r="V5" s="198"/>
    </row>
    <row r="6" spans="1:22" ht="102" customHeight="1">
      <c r="A6" s="108" t="s">
        <v>6</v>
      </c>
      <c r="B6" s="109" t="s">
        <v>35</v>
      </c>
      <c r="C6" s="109" t="s">
        <v>36</v>
      </c>
      <c r="D6" s="109" t="s">
        <v>37</v>
      </c>
      <c r="E6" s="109" t="s">
        <v>36</v>
      </c>
      <c r="F6" s="109" t="s">
        <v>38</v>
      </c>
      <c r="G6" s="109" t="s">
        <v>36</v>
      </c>
      <c r="H6" s="109" t="s">
        <v>75</v>
      </c>
      <c r="I6" s="109" t="s">
        <v>36</v>
      </c>
      <c r="J6" s="109" t="s">
        <v>39</v>
      </c>
      <c r="K6" s="109" t="s">
        <v>36</v>
      </c>
      <c r="L6" s="109" t="s">
        <v>76</v>
      </c>
      <c r="M6" s="109" t="s">
        <v>36</v>
      </c>
      <c r="N6" s="109" t="s">
        <v>40</v>
      </c>
      <c r="O6" s="109" t="s">
        <v>36</v>
      </c>
      <c r="P6" s="109" t="s">
        <v>77</v>
      </c>
      <c r="Q6" s="109" t="s">
        <v>36</v>
      </c>
      <c r="R6" s="109" t="s">
        <v>78</v>
      </c>
      <c r="S6" s="109" t="s">
        <v>36</v>
      </c>
      <c r="T6" s="109" t="s">
        <v>81</v>
      </c>
      <c r="U6" s="109" t="s">
        <v>36</v>
      </c>
      <c r="V6" s="110" t="s">
        <v>79</v>
      </c>
    </row>
    <row r="7" spans="1:22">
      <c r="A7" s="104"/>
      <c r="B7" s="111">
        <v>1</v>
      </c>
      <c r="C7" s="111">
        <v>2</v>
      </c>
      <c r="D7" s="111">
        <v>3</v>
      </c>
      <c r="E7" s="111">
        <v>4</v>
      </c>
      <c r="F7" s="111">
        <v>5</v>
      </c>
      <c r="G7" s="111">
        <v>6</v>
      </c>
      <c r="H7" s="111">
        <v>7</v>
      </c>
      <c r="I7" s="111">
        <v>8</v>
      </c>
      <c r="J7" s="111">
        <v>9</v>
      </c>
      <c r="K7" s="111">
        <v>10</v>
      </c>
      <c r="L7" s="111">
        <v>11</v>
      </c>
      <c r="M7" s="111">
        <v>12</v>
      </c>
      <c r="N7" s="111">
        <v>13</v>
      </c>
      <c r="O7" s="111">
        <v>14</v>
      </c>
      <c r="P7" s="111">
        <v>15</v>
      </c>
      <c r="Q7" s="111">
        <v>16</v>
      </c>
      <c r="R7" s="111">
        <v>17</v>
      </c>
      <c r="S7" s="111">
        <v>18</v>
      </c>
      <c r="T7" s="111">
        <v>19</v>
      </c>
      <c r="U7" s="111">
        <v>20</v>
      </c>
      <c r="V7" s="112">
        <v>21</v>
      </c>
    </row>
    <row r="8" spans="1:22">
      <c r="A8" s="60">
        <v>1</v>
      </c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66"/>
      <c r="Q8" s="166"/>
      <c r="R8" s="166"/>
      <c r="S8" s="166"/>
      <c r="T8" s="166"/>
      <c r="U8" s="166"/>
      <c r="V8" s="61">
        <f>(D8-E8)*0.1+(F8-G8)*0.2+(H8-I8)*0.3+(J8-K8)*0.5+(L8-M8)*0.75+(N8-O8)+(P8-Q8)*1.1+(R8-S8)*1.5+(T8-U8)*2.25</f>
        <v>0</v>
      </c>
    </row>
    <row r="9" spans="1:22">
      <c r="A9" s="60">
        <v>2</v>
      </c>
      <c r="B9" s="117"/>
      <c r="C9" s="117"/>
      <c r="D9" s="117"/>
      <c r="E9" s="117"/>
      <c r="F9" s="117"/>
      <c r="G9" s="117"/>
      <c r="H9" s="117"/>
      <c r="I9" s="117"/>
      <c r="J9" s="117"/>
      <c r="K9" s="117"/>
      <c r="L9" s="117"/>
      <c r="M9" s="117"/>
      <c r="N9" s="117"/>
      <c r="O9" s="117"/>
      <c r="P9" s="167"/>
      <c r="Q9" s="167"/>
      <c r="R9" s="167"/>
      <c r="S9" s="167"/>
      <c r="T9" s="167"/>
      <c r="U9" s="167"/>
      <c r="V9" s="61">
        <f t="shared" ref="V9:V38" si="0">(D9-E9)*0.1+(F9-G9)*0.2+(H9-I9)*0.3+(J9-K9)*0.5+(L9-M9)*0.75+(N9-O9)+(P9-Q9)*1.1+(R9-S9)*1.5+(T9-U9)*2.25</f>
        <v>0</v>
      </c>
    </row>
    <row r="10" spans="1:22">
      <c r="A10" s="60">
        <v>3</v>
      </c>
      <c r="B10" s="117"/>
      <c r="C10" s="117"/>
      <c r="D10" s="117"/>
      <c r="E10" s="117"/>
      <c r="F10" s="117"/>
      <c r="G10" s="117"/>
      <c r="H10" s="117"/>
      <c r="I10" s="117"/>
      <c r="J10" s="117"/>
      <c r="K10" s="117"/>
      <c r="L10" s="117"/>
      <c r="M10" s="117"/>
      <c r="N10" s="117"/>
      <c r="O10" s="117"/>
      <c r="P10" s="167"/>
      <c r="Q10" s="167"/>
      <c r="R10" s="167"/>
      <c r="S10" s="167"/>
      <c r="T10" s="167"/>
      <c r="U10" s="167"/>
      <c r="V10" s="61">
        <f t="shared" si="0"/>
        <v>0</v>
      </c>
    </row>
    <row r="11" spans="1:22">
      <c r="A11" s="60">
        <v>4</v>
      </c>
      <c r="B11" s="117"/>
      <c r="C11" s="117"/>
      <c r="D11" s="117"/>
      <c r="E11" s="117"/>
      <c r="F11" s="117"/>
      <c r="G11" s="117"/>
      <c r="H11" s="117"/>
      <c r="I11" s="117"/>
      <c r="J11" s="117"/>
      <c r="K11" s="117"/>
      <c r="L11" s="117"/>
      <c r="M11" s="117"/>
      <c r="N11" s="117"/>
      <c r="O11" s="117"/>
      <c r="P11" s="167"/>
      <c r="Q11" s="167"/>
      <c r="R11" s="167"/>
      <c r="S11" s="167"/>
      <c r="T11" s="167"/>
      <c r="U11" s="167"/>
      <c r="V11" s="61">
        <f t="shared" si="0"/>
        <v>0</v>
      </c>
    </row>
    <row r="12" spans="1:22">
      <c r="A12" s="60">
        <v>5</v>
      </c>
      <c r="B12" s="117"/>
      <c r="C12" s="117"/>
      <c r="D12" s="117"/>
      <c r="E12" s="117"/>
      <c r="F12" s="117"/>
      <c r="G12" s="117"/>
      <c r="H12" s="117"/>
      <c r="I12" s="117"/>
      <c r="J12" s="117"/>
      <c r="K12" s="117"/>
      <c r="L12" s="117"/>
      <c r="M12" s="117"/>
      <c r="N12" s="117"/>
      <c r="O12" s="117"/>
      <c r="P12" s="167"/>
      <c r="Q12" s="167"/>
      <c r="R12" s="167"/>
      <c r="S12" s="167"/>
      <c r="T12" s="167"/>
      <c r="U12" s="167"/>
      <c r="V12" s="61">
        <f t="shared" si="0"/>
        <v>0</v>
      </c>
    </row>
    <row r="13" spans="1:22">
      <c r="A13" s="60">
        <v>6</v>
      </c>
      <c r="B13" s="117"/>
      <c r="C13" s="117"/>
      <c r="D13" s="117"/>
      <c r="E13" s="117"/>
      <c r="F13" s="117"/>
      <c r="G13" s="117"/>
      <c r="H13" s="117"/>
      <c r="I13" s="117"/>
      <c r="J13" s="117"/>
      <c r="K13" s="117"/>
      <c r="L13" s="117"/>
      <c r="M13" s="117"/>
      <c r="N13" s="117"/>
      <c r="O13" s="117"/>
      <c r="P13" s="167"/>
      <c r="Q13" s="167"/>
      <c r="R13" s="167"/>
      <c r="S13" s="167"/>
      <c r="T13" s="167"/>
      <c r="U13" s="167"/>
      <c r="V13" s="61">
        <f t="shared" si="0"/>
        <v>0</v>
      </c>
    </row>
    <row r="14" spans="1:22">
      <c r="A14" s="60">
        <v>7</v>
      </c>
      <c r="B14" s="117"/>
      <c r="C14" s="117"/>
      <c r="D14" s="117"/>
      <c r="E14" s="117"/>
      <c r="F14" s="117"/>
      <c r="G14" s="117"/>
      <c r="H14" s="117"/>
      <c r="I14" s="117"/>
      <c r="J14" s="117"/>
      <c r="K14" s="117"/>
      <c r="L14" s="117"/>
      <c r="M14" s="117"/>
      <c r="N14" s="117"/>
      <c r="O14" s="117"/>
      <c r="P14" s="167"/>
      <c r="Q14" s="167"/>
      <c r="R14" s="167"/>
      <c r="S14" s="167"/>
      <c r="T14" s="167"/>
      <c r="U14" s="167"/>
      <c r="V14" s="61">
        <f t="shared" si="0"/>
        <v>0</v>
      </c>
    </row>
    <row r="15" spans="1:22">
      <c r="A15" s="60">
        <v>8</v>
      </c>
      <c r="B15" s="117"/>
      <c r="C15" s="117"/>
      <c r="D15" s="117"/>
      <c r="E15" s="117"/>
      <c r="F15" s="117"/>
      <c r="G15" s="117"/>
      <c r="H15" s="117"/>
      <c r="I15" s="117"/>
      <c r="J15" s="117"/>
      <c r="K15" s="117"/>
      <c r="L15" s="117"/>
      <c r="M15" s="117"/>
      <c r="N15" s="117"/>
      <c r="O15" s="117"/>
      <c r="P15" s="167"/>
      <c r="Q15" s="167"/>
      <c r="R15" s="167"/>
      <c r="S15" s="167"/>
      <c r="T15" s="167"/>
      <c r="U15" s="167"/>
      <c r="V15" s="61">
        <f t="shared" si="0"/>
        <v>0</v>
      </c>
    </row>
    <row r="16" spans="1:22">
      <c r="A16" s="60">
        <v>9</v>
      </c>
      <c r="B16" s="117"/>
      <c r="C16" s="117"/>
      <c r="D16" s="117"/>
      <c r="E16" s="117"/>
      <c r="F16" s="117"/>
      <c r="G16" s="117"/>
      <c r="H16" s="117"/>
      <c r="I16" s="117"/>
      <c r="J16" s="117"/>
      <c r="K16" s="117"/>
      <c r="L16" s="117"/>
      <c r="M16" s="117"/>
      <c r="N16" s="117"/>
      <c r="O16" s="117"/>
      <c r="P16" s="167"/>
      <c r="Q16" s="167"/>
      <c r="R16" s="167"/>
      <c r="S16" s="167"/>
      <c r="T16" s="167"/>
      <c r="U16" s="167"/>
      <c r="V16" s="61">
        <f t="shared" si="0"/>
        <v>0</v>
      </c>
    </row>
    <row r="17" spans="1:22">
      <c r="A17" s="60">
        <v>10</v>
      </c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7"/>
      <c r="P17" s="167"/>
      <c r="Q17" s="167"/>
      <c r="R17" s="167"/>
      <c r="S17" s="167"/>
      <c r="T17" s="167"/>
      <c r="U17" s="167"/>
      <c r="V17" s="61">
        <f t="shared" si="0"/>
        <v>0</v>
      </c>
    </row>
    <row r="18" spans="1:22">
      <c r="A18" s="60">
        <v>11</v>
      </c>
      <c r="B18" s="117"/>
      <c r="C18" s="117"/>
      <c r="D18" s="117"/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67"/>
      <c r="Q18" s="167"/>
      <c r="R18" s="167"/>
      <c r="S18" s="167"/>
      <c r="T18" s="167"/>
      <c r="U18" s="167"/>
      <c r="V18" s="61">
        <f t="shared" si="0"/>
        <v>0</v>
      </c>
    </row>
    <row r="19" spans="1:22">
      <c r="A19" s="60">
        <v>12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7"/>
      <c r="N19" s="117"/>
      <c r="O19" s="117"/>
      <c r="P19" s="167"/>
      <c r="Q19" s="167"/>
      <c r="R19" s="167"/>
      <c r="S19" s="167"/>
      <c r="T19" s="167"/>
      <c r="U19" s="167"/>
      <c r="V19" s="61">
        <f t="shared" si="0"/>
        <v>0</v>
      </c>
    </row>
    <row r="20" spans="1:22">
      <c r="A20" s="60">
        <v>13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7"/>
      <c r="N20" s="117"/>
      <c r="O20" s="117"/>
      <c r="P20" s="167"/>
      <c r="Q20" s="167"/>
      <c r="R20" s="167"/>
      <c r="S20" s="167"/>
      <c r="T20" s="167"/>
      <c r="U20" s="167"/>
      <c r="V20" s="61">
        <f t="shared" si="0"/>
        <v>0</v>
      </c>
    </row>
    <row r="21" spans="1:22">
      <c r="A21" s="60">
        <v>14</v>
      </c>
      <c r="B21" s="117"/>
      <c r="C21" s="117"/>
      <c r="D21" s="117"/>
      <c r="E21" s="117"/>
      <c r="F21" s="117"/>
      <c r="G21" s="117"/>
      <c r="H21" s="117"/>
      <c r="I21" s="117"/>
      <c r="J21" s="117"/>
      <c r="K21" s="117"/>
      <c r="L21" s="117"/>
      <c r="M21" s="117"/>
      <c r="N21" s="117"/>
      <c r="O21" s="117"/>
      <c r="P21" s="167"/>
      <c r="Q21" s="167"/>
      <c r="R21" s="167"/>
      <c r="S21" s="167"/>
      <c r="T21" s="167"/>
      <c r="U21" s="167"/>
      <c r="V21" s="61">
        <f t="shared" si="0"/>
        <v>0</v>
      </c>
    </row>
    <row r="22" spans="1:22">
      <c r="A22" s="60">
        <v>15</v>
      </c>
      <c r="B22" s="117"/>
      <c r="C22" s="117"/>
      <c r="D22" s="117"/>
      <c r="E22" s="117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67"/>
      <c r="Q22" s="167"/>
      <c r="R22" s="167"/>
      <c r="S22" s="167"/>
      <c r="T22" s="167"/>
      <c r="U22" s="167"/>
      <c r="V22" s="61">
        <f t="shared" si="0"/>
        <v>0</v>
      </c>
    </row>
    <row r="23" spans="1:22">
      <c r="A23" s="60">
        <v>16</v>
      </c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67"/>
      <c r="Q23" s="167"/>
      <c r="R23" s="167"/>
      <c r="S23" s="167"/>
      <c r="T23" s="167"/>
      <c r="U23" s="167"/>
      <c r="V23" s="61">
        <f t="shared" si="0"/>
        <v>0</v>
      </c>
    </row>
    <row r="24" spans="1:22">
      <c r="A24" s="60">
        <v>17</v>
      </c>
      <c r="B24" s="117"/>
      <c r="C24" s="117"/>
      <c r="D24" s="117"/>
      <c r="E24" s="117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67"/>
      <c r="Q24" s="167"/>
      <c r="R24" s="167"/>
      <c r="S24" s="167"/>
      <c r="T24" s="167"/>
      <c r="U24" s="167"/>
      <c r="V24" s="61">
        <f t="shared" si="0"/>
        <v>0</v>
      </c>
    </row>
    <row r="25" spans="1:22">
      <c r="A25" s="60">
        <v>18</v>
      </c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67"/>
      <c r="Q25" s="167"/>
      <c r="R25" s="167"/>
      <c r="S25" s="167"/>
      <c r="T25" s="167"/>
      <c r="U25" s="167"/>
      <c r="V25" s="61">
        <f t="shared" si="0"/>
        <v>0</v>
      </c>
    </row>
    <row r="26" spans="1:22">
      <c r="A26" s="60">
        <v>19</v>
      </c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67"/>
      <c r="Q26" s="167"/>
      <c r="R26" s="167"/>
      <c r="S26" s="167"/>
      <c r="T26" s="167"/>
      <c r="U26" s="167"/>
      <c r="V26" s="61">
        <f t="shared" si="0"/>
        <v>0</v>
      </c>
    </row>
    <row r="27" spans="1:22">
      <c r="A27" s="60">
        <v>20</v>
      </c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67"/>
      <c r="Q27" s="167"/>
      <c r="R27" s="167"/>
      <c r="S27" s="167"/>
      <c r="T27" s="167"/>
      <c r="U27" s="167"/>
      <c r="V27" s="61">
        <f t="shared" si="0"/>
        <v>0</v>
      </c>
    </row>
    <row r="28" spans="1:22">
      <c r="A28" s="60">
        <v>21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67"/>
      <c r="Q28" s="167"/>
      <c r="R28" s="167"/>
      <c r="S28" s="167"/>
      <c r="T28" s="167"/>
      <c r="U28" s="167"/>
      <c r="V28" s="61">
        <f t="shared" si="0"/>
        <v>0</v>
      </c>
    </row>
    <row r="29" spans="1:22">
      <c r="A29" s="60">
        <v>22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67"/>
      <c r="Q29" s="167"/>
      <c r="R29" s="167"/>
      <c r="S29" s="167"/>
      <c r="T29" s="167"/>
      <c r="U29" s="167"/>
      <c r="V29" s="61">
        <f t="shared" si="0"/>
        <v>0</v>
      </c>
    </row>
    <row r="30" spans="1:22">
      <c r="A30" s="60">
        <v>23</v>
      </c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67"/>
      <c r="Q30" s="167"/>
      <c r="R30" s="167"/>
      <c r="S30" s="167"/>
      <c r="T30" s="167"/>
      <c r="U30" s="167"/>
      <c r="V30" s="61">
        <f t="shared" si="0"/>
        <v>0</v>
      </c>
    </row>
    <row r="31" spans="1:22">
      <c r="A31" s="60">
        <v>24</v>
      </c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67"/>
      <c r="Q31" s="167"/>
      <c r="R31" s="167"/>
      <c r="S31" s="167"/>
      <c r="T31" s="167"/>
      <c r="U31" s="167"/>
      <c r="V31" s="61">
        <f t="shared" si="0"/>
        <v>0</v>
      </c>
    </row>
    <row r="32" spans="1:22">
      <c r="A32" s="60">
        <v>25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67"/>
      <c r="Q32" s="167"/>
      <c r="R32" s="167"/>
      <c r="S32" s="167"/>
      <c r="T32" s="167"/>
      <c r="U32" s="167"/>
      <c r="V32" s="61">
        <f t="shared" si="0"/>
        <v>0</v>
      </c>
    </row>
    <row r="33" spans="1:22">
      <c r="A33" s="60">
        <v>26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67"/>
      <c r="Q33" s="167"/>
      <c r="R33" s="167"/>
      <c r="S33" s="167"/>
      <c r="T33" s="167"/>
      <c r="U33" s="167"/>
      <c r="V33" s="61">
        <f t="shared" si="0"/>
        <v>0</v>
      </c>
    </row>
    <row r="34" spans="1:22">
      <c r="A34" s="60">
        <v>27</v>
      </c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67"/>
      <c r="Q34" s="167"/>
      <c r="R34" s="167"/>
      <c r="S34" s="167"/>
      <c r="T34" s="167"/>
      <c r="U34" s="167"/>
      <c r="V34" s="61">
        <f t="shared" si="0"/>
        <v>0</v>
      </c>
    </row>
    <row r="35" spans="1:22">
      <c r="A35" s="60">
        <v>28</v>
      </c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67"/>
      <c r="Q35" s="167"/>
      <c r="R35" s="167"/>
      <c r="S35" s="167"/>
      <c r="T35" s="167"/>
      <c r="U35" s="167"/>
      <c r="V35" s="61">
        <f t="shared" si="0"/>
        <v>0</v>
      </c>
    </row>
    <row r="36" spans="1:22">
      <c r="A36" s="60">
        <v>29</v>
      </c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67"/>
      <c r="Q36" s="167"/>
      <c r="R36" s="167"/>
      <c r="S36" s="167"/>
      <c r="T36" s="167"/>
      <c r="U36" s="167"/>
      <c r="V36" s="61">
        <f t="shared" si="0"/>
        <v>0</v>
      </c>
    </row>
    <row r="37" spans="1:22">
      <c r="A37" s="60">
        <v>30</v>
      </c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67"/>
      <c r="Q37" s="167"/>
      <c r="R37" s="167"/>
      <c r="S37" s="167"/>
      <c r="T37" s="167"/>
      <c r="U37" s="167"/>
      <c r="V37" s="61">
        <f t="shared" si="0"/>
        <v>0</v>
      </c>
    </row>
    <row r="38" spans="1:22">
      <c r="A38" s="62">
        <v>31</v>
      </c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67"/>
      <c r="Q38" s="167"/>
      <c r="R38" s="167"/>
      <c r="S38" s="167"/>
      <c r="T38" s="167"/>
      <c r="U38" s="167"/>
      <c r="V38" s="61">
        <f t="shared" si="0"/>
        <v>0</v>
      </c>
    </row>
    <row r="39" spans="1:22" ht="24">
      <c r="A39" s="63" t="s">
        <v>10</v>
      </c>
      <c r="B39" s="115">
        <f t="shared" ref="B39:V39" si="1">SUM(B8:B38)/(Date2-Date1+1)</f>
        <v>0</v>
      </c>
      <c r="C39" s="115">
        <f t="shared" si="1"/>
        <v>0</v>
      </c>
      <c r="D39" s="115">
        <f t="shared" si="1"/>
        <v>0</v>
      </c>
      <c r="E39" s="115">
        <f t="shared" si="1"/>
        <v>0</v>
      </c>
      <c r="F39" s="115">
        <f t="shared" si="1"/>
        <v>0</v>
      </c>
      <c r="G39" s="115">
        <f t="shared" si="1"/>
        <v>0</v>
      </c>
      <c r="H39" s="115">
        <f t="shared" si="1"/>
        <v>0</v>
      </c>
      <c r="I39" s="115">
        <f t="shared" si="1"/>
        <v>0</v>
      </c>
      <c r="J39" s="115">
        <f t="shared" si="1"/>
        <v>0</v>
      </c>
      <c r="K39" s="115">
        <f t="shared" si="1"/>
        <v>0</v>
      </c>
      <c r="L39" s="115">
        <f t="shared" si="1"/>
        <v>0</v>
      </c>
      <c r="M39" s="115">
        <f t="shared" si="1"/>
        <v>0</v>
      </c>
      <c r="N39" s="115">
        <f t="shared" si="1"/>
        <v>0</v>
      </c>
      <c r="O39" s="115">
        <f t="shared" si="1"/>
        <v>0</v>
      </c>
      <c r="P39" s="115">
        <f t="shared" si="1"/>
        <v>0</v>
      </c>
      <c r="Q39" s="115">
        <f t="shared" si="1"/>
        <v>0</v>
      </c>
      <c r="R39" s="115">
        <f t="shared" si="1"/>
        <v>0</v>
      </c>
      <c r="S39" s="115">
        <f t="shared" si="1"/>
        <v>0</v>
      </c>
      <c r="T39" s="115">
        <f t="shared" si="1"/>
        <v>0</v>
      </c>
      <c r="U39" s="115">
        <f t="shared" si="1"/>
        <v>0</v>
      </c>
      <c r="V39" s="169">
        <f t="shared" si="1"/>
        <v>0</v>
      </c>
    </row>
    <row r="40" spans="1:22">
      <c r="A40" s="64"/>
      <c r="B40" s="64"/>
      <c r="C40" s="64"/>
      <c r="D40" s="64"/>
    </row>
    <row r="42" spans="1:22" s="66" customFormat="1" ht="12">
      <c r="A42" s="65"/>
      <c r="F42" s="67"/>
      <c r="G42" s="67"/>
      <c r="H42" s="67"/>
      <c r="I42" s="67"/>
      <c r="J42" s="67"/>
      <c r="K42" s="67"/>
      <c r="L42" s="67"/>
      <c r="M42" s="67"/>
    </row>
    <row r="43" spans="1:22" s="66" customFormat="1" ht="12">
      <c r="A43" s="68"/>
      <c r="F43" s="67"/>
      <c r="G43" s="67"/>
      <c r="H43" s="67"/>
      <c r="I43" s="67"/>
      <c r="J43" s="67"/>
      <c r="K43" s="67"/>
      <c r="L43" s="67"/>
      <c r="M43" s="67"/>
    </row>
    <row r="44" spans="1:22" s="66" customFormat="1" ht="12">
      <c r="A44" s="68"/>
      <c r="F44" s="67"/>
      <c r="G44" s="67"/>
      <c r="H44" s="67"/>
      <c r="I44" s="67"/>
      <c r="J44" s="67"/>
      <c r="K44" s="67"/>
      <c r="L44" s="67"/>
      <c r="M44" s="67"/>
    </row>
    <row r="45" spans="1:22" s="66" customFormat="1" ht="12">
      <c r="F45" s="67"/>
      <c r="G45" s="67"/>
      <c r="H45" s="67"/>
      <c r="I45" s="67"/>
      <c r="J45" s="67"/>
      <c r="K45" s="67"/>
      <c r="L45" s="67"/>
      <c r="M45" s="67"/>
    </row>
  </sheetData>
  <sheetProtection password="A028" sheet="1"/>
  <mergeCells count="4">
    <mergeCell ref="A4:V4"/>
    <mergeCell ref="A5:V5"/>
    <mergeCell ref="A1:V1"/>
    <mergeCell ref="A2:V2"/>
  </mergeCells>
  <phoneticPr fontId="0" type="noConversion"/>
  <pageMargins left="0.75" right="0.75" top="1" bottom="1" header="0.5" footer="0.5"/>
  <pageSetup scale="83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39"/>
  <sheetViews>
    <sheetView showGridLines="0" zoomScaleNormal="100" workbookViewId="0">
      <selection activeCell="B39" sqref="B39"/>
    </sheetView>
  </sheetViews>
  <sheetFormatPr defaultRowHeight="12.75"/>
  <cols>
    <col min="1" max="1" width="9.140625" style="19" customWidth="1"/>
    <col min="2" max="2" width="19.42578125" style="19" customWidth="1"/>
    <col min="3" max="3" width="19" style="19" customWidth="1"/>
    <col min="4" max="4" width="19.7109375" style="19" customWidth="1"/>
    <col min="5" max="5" width="21.140625" style="19" customWidth="1"/>
    <col min="6" max="6" width="19.140625" style="19" customWidth="1"/>
    <col min="7" max="16384" width="9.140625" style="19"/>
  </cols>
  <sheetData>
    <row r="1" spans="1:6" s="6" customFormat="1" ht="15">
      <c r="A1" s="185" t="s">
        <v>54</v>
      </c>
      <c r="B1" s="185"/>
      <c r="C1" s="185"/>
      <c r="D1" s="185"/>
      <c r="E1" s="185"/>
      <c r="F1" s="185"/>
    </row>
    <row r="2" spans="1:6" s="6" customFormat="1" ht="15">
      <c r="A2" s="185"/>
      <c r="B2" s="185"/>
      <c r="C2" s="185"/>
      <c r="D2" s="185"/>
      <c r="E2" s="185"/>
      <c r="F2" s="185"/>
    </row>
    <row r="3" spans="1:6" s="6" customFormat="1">
      <c r="A3" s="16"/>
      <c r="B3" s="3"/>
      <c r="C3" s="16"/>
      <c r="D3" s="16"/>
      <c r="E3" s="3"/>
      <c r="F3" s="3"/>
    </row>
    <row r="4" spans="1:6" s="6" customFormat="1" ht="15">
      <c r="A4" s="201" t="s">
        <v>55</v>
      </c>
      <c r="B4" s="202"/>
      <c r="C4" s="202"/>
      <c r="D4" s="202"/>
      <c r="E4" s="202"/>
      <c r="F4" s="203"/>
    </row>
    <row r="5" spans="1:6" s="6" customFormat="1">
      <c r="A5" s="204" t="s">
        <v>6</v>
      </c>
      <c r="B5" s="206" t="s">
        <v>56</v>
      </c>
      <c r="C5" s="206" t="s">
        <v>57</v>
      </c>
      <c r="D5" s="206" t="s">
        <v>58</v>
      </c>
      <c r="E5" s="206" t="s">
        <v>59</v>
      </c>
      <c r="F5" s="206" t="s">
        <v>60</v>
      </c>
    </row>
    <row r="6" spans="1:6">
      <c r="A6" s="205"/>
      <c r="B6" s="207"/>
      <c r="C6" s="207"/>
      <c r="D6" s="207"/>
      <c r="E6" s="207"/>
      <c r="F6" s="207"/>
    </row>
    <row r="7" spans="1:6">
      <c r="A7" s="133"/>
      <c r="B7" s="136">
        <v>1</v>
      </c>
      <c r="C7" s="136">
        <v>2</v>
      </c>
      <c r="D7" s="136">
        <v>3</v>
      </c>
      <c r="E7" s="136">
        <v>4</v>
      </c>
      <c r="F7" s="136">
        <v>5</v>
      </c>
    </row>
    <row r="8" spans="1:6">
      <c r="A8" s="137">
        <v>1</v>
      </c>
      <c r="B8" s="138"/>
      <c r="C8" s="138"/>
      <c r="D8" s="138"/>
      <c r="E8" s="139">
        <f>MAX(B8,C8)+D8</f>
        <v>0</v>
      </c>
      <c r="F8" s="140">
        <f>E8*12%</f>
        <v>0</v>
      </c>
    </row>
    <row r="9" spans="1:6">
      <c r="A9" s="134">
        <v>2</v>
      </c>
      <c r="B9" s="141"/>
      <c r="C9" s="141"/>
      <c r="D9" s="141"/>
      <c r="E9" s="142">
        <f t="shared" ref="E9:E38" si="0">MAX(B9,C9)+D9</f>
        <v>0</v>
      </c>
      <c r="F9" s="143">
        <f>E9*12%</f>
        <v>0</v>
      </c>
    </row>
    <row r="10" spans="1:6">
      <c r="A10" s="134">
        <v>3</v>
      </c>
      <c r="B10" s="141"/>
      <c r="C10" s="141"/>
      <c r="D10" s="141"/>
      <c r="E10" s="142">
        <f t="shared" si="0"/>
        <v>0</v>
      </c>
      <c r="F10" s="143">
        <f>E10*12%</f>
        <v>0</v>
      </c>
    </row>
    <row r="11" spans="1:6">
      <c r="A11" s="134">
        <v>4</v>
      </c>
      <c r="B11" s="141"/>
      <c r="C11" s="141"/>
      <c r="D11" s="141"/>
      <c r="E11" s="142">
        <f t="shared" si="0"/>
        <v>0</v>
      </c>
      <c r="F11" s="143">
        <f>E11*12%</f>
        <v>0</v>
      </c>
    </row>
    <row r="12" spans="1:6">
      <c r="A12" s="134">
        <v>5</v>
      </c>
      <c r="B12" s="141"/>
      <c r="C12" s="141"/>
      <c r="D12" s="141"/>
      <c r="E12" s="142">
        <f t="shared" si="0"/>
        <v>0</v>
      </c>
      <c r="F12" s="143">
        <f t="shared" ref="F12:F36" si="1">E12*12%</f>
        <v>0</v>
      </c>
    </row>
    <row r="13" spans="1:6">
      <c r="A13" s="134">
        <v>6</v>
      </c>
      <c r="B13" s="141"/>
      <c r="C13" s="141"/>
      <c r="D13" s="141"/>
      <c r="E13" s="142">
        <f t="shared" si="0"/>
        <v>0</v>
      </c>
      <c r="F13" s="143">
        <f t="shared" si="1"/>
        <v>0</v>
      </c>
    </row>
    <row r="14" spans="1:6">
      <c r="A14" s="134">
        <v>7</v>
      </c>
      <c r="B14" s="141"/>
      <c r="C14" s="141"/>
      <c r="D14" s="141"/>
      <c r="E14" s="142">
        <f t="shared" si="0"/>
        <v>0</v>
      </c>
      <c r="F14" s="143">
        <f t="shared" si="1"/>
        <v>0</v>
      </c>
    </row>
    <row r="15" spans="1:6">
      <c r="A15" s="134">
        <v>8</v>
      </c>
      <c r="B15" s="141"/>
      <c r="C15" s="141"/>
      <c r="D15" s="141"/>
      <c r="E15" s="142">
        <f t="shared" si="0"/>
        <v>0</v>
      </c>
      <c r="F15" s="143">
        <f t="shared" si="1"/>
        <v>0</v>
      </c>
    </row>
    <row r="16" spans="1:6">
      <c r="A16" s="134">
        <v>9</v>
      </c>
      <c r="B16" s="141"/>
      <c r="C16" s="141"/>
      <c r="D16" s="141"/>
      <c r="E16" s="142">
        <f t="shared" si="0"/>
        <v>0</v>
      </c>
      <c r="F16" s="143">
        <f t="shared" si="1"/>
        <v>0</v>
      </c>
    </row>
    <row r="17" spans="1:6">
      <c r="A17" s="134">
        <v>10</v>
      </c>
      <c r="B17" s="141"/>
      <c r="C17" s="141"/>
      <c r="D17" s="141"/>
      <c r="E17" s="142">
        <f t="shared" si="0"/>
        <v>0</v>
      </c>
      <c r="F17" s="143">
        <f t="shared" si="1"/>
        <v>0</v>
      </c>
    </row>
    <row r="18" spans="1:6">
      <c r="A18" s="134">
        <v>11</v>
      </c>
      <c r="B18" s="141"/>
      <c r="C18" s="141"/>
      <c r="D18" s="141"/>
      <c r="E18" s="142">
        <f t="shared" si="0"/>
        <v>0</v>
      </c>
      <c r="F18" s="143">
        <f t="shared" si="1"/>
        <v>0</v>
      </c>
    </row>
    <row r="19" spans="1:6">
      <c r="A19" s="134">
        <v>12</v>
      </c>
      <c r="B19" s="141"/>
      <c r="C19" s="141"/>
      <c r="D19" s="141"/>
      <c r="E19" s="142">
        <f t="shared" si="0"/>
        <v>0</v>
      </c>
      <c r="F19" s="143">
        <f t="shared" si="1"/>
        <v>0</v>
      </c>
    </row>
    <row r="20" spans="1:6">
      <c r="A20" s="134">
        <v>13</v>
      </c>
      <c r="B20" s="141"/>
      <c r="C20" s="141"/>
      <c r="D20" s="141"/>
      <c r="E20" s="142">
        <f t="shared" si="0"/>
        <v>0</v>
      </c>
      <c r="F20" s="143">
        <f t="shared" si="1"/>
        <v>0</v>
      </c>
    </row>
    <row r="21" spans="1:6">
      <c r="A21" s="134">
        <v>14</v>
      </c>
      <c r="B21" s="141"/>
      <c r="C21" s="141"/>
      <c r="D21" s="141"/>
      <c r="E21" s="142">
        <f t="shared" si="0"/>
        <v>0</v>
      </c>
      <c r="F21" s="143">
        <f t="shared" si="1"/>
        <v>0</v>
      </c>
    </row>
    <row r="22" spans="1:6">
      <c r="A22" s="134">
        <v>15</v>
      </c>
      <c r="B22" s="141"/>
      <c r="C22" s="141"/>
      <c r="D22" s="141"/>
      <c r="E22" s="142">
        <f t="shared" si="0"/>
        <v>0</v>
      </c>
      <c r="F22" s="143">
        <f t="shared" si="1"/>
        <v>0</v>
      </c>
    </row>
    <row r="23" spans="1:6">
      <c r="A23" s="134">
        <v>16</v>
      </c>
      <c r="B23" s="141"/>
      <c r="C23" s="141"/>
      <c r="D23" s="141"/>
      <c r="E23" s="142">
        <f t="shared" si="0"/>
        <v>0</v>
      </c>
      <c r="F23" s="143">
        <f t="shared" si="1"/>
        <v>0</v>
      </c>
    </row>
    <row r="24" spans="1:6">
      <c r="A24" s="134">
        <v>17</v>
      </c>
      <c r="B24" s="141"/>
      <c r="C24" s="141"/>
      <c r="D24" s="141"/>
      <c r="E24" s="142">
        <f t="shared" si="0"/>
        <v>0</v>
      </c>
      <c r="F24" s="143">
        <f t="shared" si="1"/>
        <v>0</v>
      </c>
    </row>
    <row r="25" spans="1:6">
      <c r="A25" s="134">
        <v>18</v>
      </c>
      <c r="B25" s="141"/>
      <c r="C25" s="141"/>
      <c r="D25" s="141"/>
      <c r="E25" s="142">
        <f t="shared" si="0"/>
        <v>0</v>
      </c>
      <c r="F25" s="143">
        <f t="shared" si="1"/>
        <v>0</v>
      </c>
    </row>
    <row r="26" spans="1:6">
      <c r="A26" s="134">
        <v>19</v>
      </c>
      <c r="B26" s="141"/>
      <c r="C26" s="141"/>
      <c r="D26" s="141"/>
      <c r="E26" s="142">
        <f t="shared" si="0"/>
        <v>0</v>
      </c>
      <c r="F26" s="143">
        <f t="shared" si="1"/>
        <v>0</v>
      </c>
    </row>
    <row r="27" spans="1:6">
      <c r="A27" s="134">
        <v>20</v>
      </c>
      <c r="B27" s="141"/>
      <c r="C27" s="141"/>
      <c r="D27" s="141"/>
      <c r="E27" s="142">
        <f t="shared" si="0"/>
        <v>0</v>
      </c>
      <c r="F27" s="143">
        <f t="shared" si="1"/>
        <v>0</v>
      </c>
    </row>
    <row r="28" spans="1:6">
      <c r="A28" s="134">
        <v>21</v>
      </c>
      <c r="B28" s="141"/>
      <c r="C28" s="141"/>
      <c r="D28" s="141"/>
      <c r="E28" s="142">
        <f t="shared" si="0"/>
        <v>0</v>
      </c>
      <c r="F28" s="143">
        <f t="shared" si="1"/>
        <v>0</v>
      </c>
    </row>
    <row r="29" spans="1:6">
      <c r="A29" s="134">
        <v>22</v>
      </c>
      <c r="B29" s="141"/>
      <c r="C29" s="141"/>
      <c r="D29" s="141"/>
      <c r="E29" s="142">
        <f t="shared" si="0"/>
        <v>0</v>
      </c>
      <c r="F29" s="143">
        <f t="shared" si="1"/>
        <v>0</v>
      </c>
    </row>
    <row r="30" spans="1:6">
      <c r="A30" s="134">
        <v>23</v>
      </c>
      <c r="B30" s="141"/>
      <c r="C30" s="141"/>
      <c r="D30" s="141"/>
      <c r="E30" s="142">
        <f t="shared" si="0"/>
        <v>0</v>
      </c>
      <c r="F30" s="143">
        <f t="shared" si="1"/>
        <v>0</v>
      </c>
    </row>
    <row r="31" spans="1:6">
      <c r="A31" s="134">
        <v>24</v>
      </c>
      <c r="B31" s="141"/>
      <c r="C31" s="141"/>
      <c r="D31" s="141"/>
      <c r="E31" s="142">
        <f t="shared" si="0"/>
        <v>0</v>
      </c>
      <c r="F31" s="143">
        <f t="shared" si="1"/>
        <v>0</v>
      </c>
    </row>
    <row r="32" spans="1:6">
      <c r="A32" s="134">
        <v>25</v>
      </c>
      <c r="B32" s="141"/>
      <c r="C32" s="141"/>
      <c r="D32" s="141"/>
      <c r="E32" s="142">
        <f t="shared" si="0"/>
        <v>0</v>
      </c>
      <c r="F32" s="143">
        <f t="shared" si="1"/>
        <v>0</v>
      </c>
    </row>
    <row r="33" spans="1:6">
      <c r="A33" s="134">
        <v>26</v>
      </c>
      <c r="B33" s="141"/>
      <c r="C33" s="141"/>
      <c r="D33" s="141"/>
      <c r="E33" s="142">
        <f t="shared" si="0"/>
        <v>0</v>
      </c>
      <c r="F33" s="143">
        <f t="shared" si="1"/>
        <v>0</v>
      </c>
    </row>
    <row r="34" spans="1:6">
      <c r="A34" s="134">
        <v>27</v>
      </c>
      <c r="B34" s="141"/>
      <c r="C34" s="141"/>
      <c r="D34" s="141"/>
      <c r="E34" s="142">
        <f t="shared" si="0"/>
        <v>0</v>
      </c>
      <c r="F34" s="143">
        <f t="shared" si="1"/>
        <v>0</v>
      </c>
    </row>
    <row r="35" spans="1:6">
      <c r="A35" s="134">
        <v>28</v>
      </c>
      <c r="B35" s="141"/>
      <c r="C35" s="141"/>
      <c r="D35" s="141"/>
      <c r="E35" s="142">
        <f t="shared" si="0"/>
        <v>0</v>
      </c>
      <c r="F35" s="143">
        <f t="shared" si="1"/>
        <v>0</v>
      </c>
    </row>
    <row r="36" spans="1:6">
      <c r="A36" s="134">
        <v>29</v>
      </c>
      <c r="B36" s="141"/>
      <c r="C36" s="141"/>
      <c r="D36" s="141"/>
      <c r="E36" s="142">
        <f t="shared" si="0"/>
        <v>0</v>
      </c>
      <c r="F36" s="143">
        <f t="shared" si="1"/>
        <v>0</v>
      </c>
    </row>
    <row r="37" spans="1:6">
      <c r="A37" s="134">
        <v>30</v>
      </c>
      <c r="B37" s="141"/>
      <c r="C37" s="141"/>
      <c r="D37" s="141"/>
      <c r="E37" s="142">
        <f t="shared" si="0"/>
        <v>0</v>
      </c>
      <c r="F37" s="143">
        <f>E37*12%</f>
        <v>0</v>
      </c>
    </row>
    <row r="38" spans="1:6">
      <c r="A38" s="144">
        <v>31</v>
      </c>
      <c r="B38" s="145"/>
      <c r="C38" s="145"/>
      <c r="D38" s="145"/>
      <c r="E38" s="146">
        <f t="shared" si="0"/>
        <v>0</v>
      </c>
      <c r="F38" s="143">
        <f>E38*12%</f>
        <v>0</v>
      </c>
    </row>
    <row r="39" spans="1:6">
      <c r="A39" s="147" t="s">
        <v>61</v>
      </c>
      <c r="B39" s="148"/>
      <c r="C39" s="148"/>
      <c r="D39" s="148"/>
      <c r="E39" s="149"/>
      <c r="F39" s="149">
        <f>MAX(F8:F38)</f>
        <v>0</v>
      </c>
    </row>
  </sheetData>
  <sheetProtection password="A028" sheet="1" objects="1" scenarios="1"/>
  <mergeCells count="9">
    <mergeCell ref="A1:F1"/>
    <mergeCell ref="A2:F2"/>
    <mergeCell ref="A4:F4"/>
    <mergeCell ref="A5:A6"/>
    <mergeCell ref="B5:B6"/>
    <mergeCell ref="C5:C6"/>
    <mergeCell ref="D5:D6"/>
    <mergeCell ref="E5:E6"/>
    <mergeCell ref="F5:F6"/>
  </mergeCells>
  <phoneticPr fontId="0" type="noConversion"/>
  <pageMargins left="0.75" right="0.75" top="1" bottom="1" header="0.5" footer="0.5"/>
  <pageSetup scale="66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F41"/>
  <sheetViews>
    <sheetView showGridLines="0" zoomScaleNormal="100" workbookViewId="0">
      <selection activeCell="E31" sqref="E31"/>
    </sheetView>
  </sheetViews>
  <sheetFormatPr defaultRowHeight="12.75"/>
  <cols>
    <col min="1" max="1" width="9.140625" style="19" customWidth="1"/>
    <col min="2" max="2" width="19.42578125" style="19" customWidth="1"/>
    <col min="3" max="3" width="19" style="19" customWidth="1"/>
    <col min="4" max="4" width="19.7109375" style="19" customWidth="1"/>
    <col min="5" max="5" width="21.140625" style="19" customWidth="1"/>
    <col min="6" max="6" width="19.140625" style="19" customWidth="1"/>
    <col min="7" max="16384" width="9.140625" style="19"/>
  </cols>
  <sheetData>
    <row r="1" spans="1:6" s="6" customFormat="1" ht="15">
      <c r="A1" s="185" t="s">
        <v>54</v>
      </c>
      <c r="B1" s="185"/>
      <c r="C1" s="185"/>
      <c r="D1" s="185"/>
      <c r="E1" s="185"/>
      <c r="F1" s="185"/>
    </row>
    <row r="2" spans="1:6" s="6" customFormat="1" ht="15">
      <c r="A2" s="185"/>
      <c r="B2" s="185"/>
      <c r="C2" s="185"/>
      <c r="D2" s="185"/>
      <c r="E2" s="185"/>
      <c r="F2" s="185"/>
    </row>
    <row r="3" spans="1:6" s="6" customFormat="1" ht="15.75">
      <c r="A3" s="128"/>
      <c r="B3" s="128"/>
      <c r="C3" s="135" t="s">
        <v>62</v>
      </c>
      <c r="D3" s="128"/>
      <c r="E3" s="128"/>
      <c r="F3" s="128"/>
    </row>
    <row r="7" spans="1:6">
      <c r="A7" s="209" t="s">
        <v>6</v>
      </c>
      <c r="B7" s="208" t="s">
        <v>63</v>
      </c>
      <c r="C7" s="211" t="s">
        <v>64</v>
      </c>
      <c r="D7" s="212" t="s">
        <v>65</v>
      </c>
      <c r="E7" s="208" t="s">
        <v>66</v>
      </c>
      <c r="F7" s="208" t="s">
        <v>67</v>
      </c>
    </row>
    <row r="8" spans="1:6" ht="26.25" customHeight="1">
      <c r="A8" s="210"/>
      <c r="B8" s="208"/>
      <c r="C8" s="211"/>
      <c r="D8" s="213"/>
      <c r="E8" s="208"/>
      <c r="F8" s="208"/>
    </row>
    <row r="9" spans="1:6">
      <c r="A9" s="150"/>
      <c r="B9" s="156">
        <v>1</v>
      </c>
      <c r="C9" s="157">
        <v>2</v>
      </c>
      <c r="D9" s="157">
        <v>3</v>
      </c>
      <c r="E9" s="156">
        <v>4</v>
      </c>
      <c r="F9" s="156">
        <v>5</v>
      </c>
    </row>
    <row r="10" spans="1:6">
      <c r="A10" s="151">
        <v>1</v>
      </c>
      <c r="B10" s="158"/>
      <c r="C10" s="159">
        <f>SUMIF(A10:A40,DAY(Sheet1!F11),B10:B40)*SQRT(10)</f>
        <v>0</v>
      </c>
      <c r="D10" s="160"/>
      <c r="E10" s="161">
        <f>IF(D10&lt;=4,3,IF(D10=5,3.4,IF(D10=6,3.5,IF(D10=7,3.65,IF(D10=8,3.75,IF(D10=9,3.85,IF(D10&gt;=10,4,)))))))</f>
        <v>3</v>
      </c>
      <c r="F10" s="162">
        <f>IF(B41="",0,3*(MAX(C10,E10*B41)))</f>
        <v>0</v>
      </c>
    </row>
    <row r="11" spans="1:6">
      <c r="A11" s="152">
        <v>2</v>
      </c>
      <c r="B11" s="158"/>
      <c r="C11" s="163"/>
      <c r="D11" s="163"/>
      <c r="E11" s="163"/>
      <c r="F11" s="163"/>
    </row>
    <row r="12" spans="1:6">
      <c r="A12" s="152">
        <v>3</v>
      </c>
      <c r="B12" s="158"/>
      <c r="C12" s="163"/>
      <c r="D12" s="163"/>
      <c r="E12" s="163"/>
      <c r="F12" s="163"/>
    </row>
    <row r="13" spans="1:6">
      <c r="A13" s="152">
        <v>4</v>
      </c>
      <c r="B13" s="158"/>
      <c r="C13" s="163"/>
      <c r="D13" s="163"/>
      <c r="E13" s="163"/>
      <c r="F13" s="163"/>
    </row>
    <row r="14" spans="1:6">
      <c r="A14" s="152">
        <v>5</v>
      </c>
      <c r="B14" s="158"/>
      <c r="C14" s="163"/>
      <c r="D14" s="163"/>
      <c r="E14" s="163"/>
      <c r="F14" s="163"/>
    </row>
    <row r="15" spans="1:6">
      <c r="A15" s="152">
        <v>6</v>
      </c>
      <c r="B15" s="158"/>
      <c r="C15" s="163"/>
      <c r="D15" s="163"/>
      <c r="E15" s="163"/>
      <c r="F15" s="163"/>
    </row>
    <row r="16" spans="1:6">
      <c r="A16" s="152">
        <v>7</v>
      </c>
      <c r="B16" s="158"/>
      <c r="C16" s="163"/>
      <c r="D16" s="163"/>
      <c r="E16" s="163"/>
      <c r="F16" s="163"/>
    </row>
    <row r="17" spans="1:6">
      <c r="A17" s="152">
        <v>8</v>
      </c>
      <c r="B17" s="158"/>
      <c r="C17" s="163"/>
      <c r="D17" s="163"/>
      <c r="E17" s="163"/>
      <c r="F17" s="163"/>
    </row>
    <row r="18" spans="1:6">
      <c r="A18" s="152">
        <v>9</v>
      </c>
      <c r="B18" s="158"/>
      <c r="C18" s="163"/>
      <c r="D18" s="163"/>
      <c r="E18" s="163"/>
      <c r="F18" s="163"/>
    </row>
    <row r="19" spans="1:6">
      <c r="A19" s="152">
        <v>10</v>
      </c>
      <c r="B19" s="158"/>
      <c r="C19" s="163"/>
      <c r="D19" s="163"/>
      <c r="E19" s="163"/>
      <c r="F19" s="163"/>
    </row>
    <row r="20" spans="1:6">
      <c r="A20" s="152">
        <v>11</v>
      </c>
      <c r="B20" s="158"/>
      <c r="C20" s="163"/>
      <c r="D20" s="163"/>
      <c r="E20" s="163"/>
      <c r="F20" s="163"/>
    </row>
    <row r="21" spans="1:6">
      <c r="A21" s="152">
        <v>12</v>
      </c>
      <c r="B21" s="158"/>
      <c r="C21" s="163"/>
      <c r="D21" s="163"/>
      <c r="E21" s="163"/>
      <c r="F21" s="163"/>
    </row>
    <row r="22" spans="1:6">
      <c r="A22" s="152">
        <v>13</v>
      </c>
      <c r="B22" s="158"/>
      <c r="C22" s="163"/>
      <c r="D22" s="163"/>
      <c r="E22" s="163"/>
      <c r="F22" s="163"/>
    </row>
    <row r="23" spans="1:6">
      <c r="A23" s="152">
        <v>14</v>
      </c>
      <c r="B23" s="158"/>
      <c r="C23" s="163"/>
      <c r="D23" s="163"/>
      <c r="E23" s="163"/>
      <c r="F23" s="163"/>
    </row>
    <row r="24" spans="1:6">
      <c r="A24" s="152">
        <v>15</v>
      </c>
      <c r="B24" s="158"/>
      <c r="C24" s="163"/>
      <c r="D24" s="163"/>
      <c r="E24" s="163"/>
      <c r="F24" s="163"/>
    </row>
    <row r="25" spans="1:6">
      <c r="A25" s="152">
        <v>16</v>
      </c>
      <c r="B25" s="158"/>
      <c r="C25" s="163"/>
      <c r="D25" s="163"/>
      <c r="E25" s="163"/>
      <c r="F25" s="163"/>
    </row>
    <row r="26" spans="1:6">
      <c r="A26" s="152">
        <v>17</v>
      </c>
      <c r="B26" s="158"/>
      <c r="C26" s="163"/>
      <c r="D26" s="163"/>
      <c r="E26" s="163"/>
      <c r="F26" s="163"/>
    </row>
    <row r="27" spans="1:6">
      <c r="A27" s="152">
        <v>18</v>
      </c>
      <c r="B27" s="158"/>
      <c r="C27" s="163"/>
      <c r="D27" s="163"/>
      <c r="E27" s="163"/>
      <c r="F27" s="163"/>
    </row>
    <row r="28" spans="1:6">
      <c r="A28" s="152">
        <v>19</v>
      </c>
      <c r="B28" s="158"/>
      <c r="C28" s="163"/>
      <c r="D28" s="163"/>
      <c r="E28" s="163"/>
      <c r="F28" s="163"/>
    </row>
    <row r="29" spans="1:6">
      <c r="A29" s="152">
        <v>20</v>
      </c>
      <c r="B29" s="158"/>
      <c r="C29" s="163"/>
      <c r="D29" s="163"/>
      <c r="E29" s="163"/>
      <c r="F29" s="163"/>
    </row>
    <row r="30" spans="1:6">
      <c r="A30" s="152">
        <v>21</v>
      </c>
      <c r="B30" s="158"/>
      <c r="C30" s="163"/>
      <c r="D30" s="163"/>
      <c r="E30" s="163"/>
      <c r="F30" s="163"/>
    </row>
    <row r="31" spans="1:6">
      <c r="A31" s="152">
        <v>22</v>
      </c>
      <c r="B31" s="158"/>
      <c r="C31" s="163"/>
      <c r="D31" s="163"/>
      <c r="E31" s="163"/>
      <c r="F31" s="163"/>
    </row>
    <row r="32" spans="1:6">
      <c r="A32" s="152">
        <v>23</v>
      </c>
      <c r="B32" s="158"/>
      <c r="C32" s="163"/>
      <c r="D32" s="163"/>
      <c r="E32" s="163"/>
      <c r="F32" s="163"/>
    </row>
    <row r="33" spans="1:6">
      <c r="A33" s="152">
        <v>24</v>
      </c>
      <c r="B33" s="158"/>
      <c r="C33" s="163"/>
      <c r="D33" s="163"/>
      <c r="E33" s="163"/>
      <c r="F33" s="163"/>
    </row>
    <row r="34" spans="1:6">
      <c r="A34" s="152">
        <v>25</v>
      </c>
      <c r="B34" s="158"/>
      <c r="C34" s="163"/>
      <c r="D34" s="163"/>
      <c r="E34" s="163"/>
      <c r="F34" s="163"/>
    </row>
    <row r="35" spans="1:6">
      <c r="A35" s="152">
        <v>26</v>
      </c>
      <c r="B35" s="158"/>
      <c r="C35" s="163"/>
      <c r="D35" s="163"/>
      <c r="E35" s="163"/>
      <c r="F35" s="163"/>
    </row>
    <row r="36" spans="1:6">
      <c r="A36" s="152">
        <v>27</v>
      </c>
      <c r="B36" s="158"/>
      <c r="C36" s="163"/>
      <c r="D36" s="163"/>
      <c r="E36" s="163"/>
      <c r="F36" s="163"/>
    </row>
    <row r="37" spans="1:6">
      <c r="A37" s="152">
        <v>28</v>
      </c>
      <c r="B37" s="158"/>
      <c r="C37" s="163"/>
      <c r="D37" s="163"/>
      <c r="E37" s="163"/>
      <c r="F37" s="163"/>
    </row>
    <row r="38" spans="1:6">
      <c r="A38" s="152">
        <v>29</v>
      </c>
      <c r="B38" s="158"/>
      <c r="C38" s="163"/>
      <c r="D38" s="163"/>
      <c r="E38" s="163"/>
      <c r="F38" s="163"/>
    </row>
    <row r="39" spans="1:6">
      <c r="A39" s="152">
        <v>30</v>
      </c>
      <c r="B39" s="158"/>
      <c r="C39" s="163"/>
      <c r="D39" s="163"/>
      <c r="E39" s="163"/>
      <c r="F39" s="163"/>
    </row>
    <row r="40" spans="1:6">
      <c r="A40" s="153">
        <v>31</v>
      </c>
      <c r="B40" s="158"/>
      <c r="C40" s="163"/>
      <c r="D40" s="163"/>
      <c r="E40" s="163"/>
      <c r="F40" s="164" t="s">
        <v>68</v>
      </c>
    </row>
    <row r="41" spans="1:6">
      <c r="A41" s="154" t="s">
        <v>10</v>
      </c>
      <c r="B41" s="155" t="str">
        <f>IF(ISERROR(AVERAGE(B10:B40)),"",(AVERAGE(B10:B40)))</f>
        <v/>
      </c>
      <c r="C41" s="163"/>
      <c r="D41" s="163"/>
      <c r="E41" s="163"/>
      <c r="F41" s="163"/>
    </row>
  </sheetData>
  <sheetProtection password="A028" sheet="1"/>
  <mergeCells count="8">
    <mergeCell ref="A1:F1"/>
    <mergeCell ref="A2:F2"/>
    <mergeCell ref="E7:E8"/>
    <mergeCell ref="F7:F8"/>
    <mergeCell ref="A7:A8"/>
    <mergeCell ref="B7:B8"/>
    <mergeCell ref="C7:C8"/>
    <mergeCell ref="D7:D8"/>
  </mergeCells>
  <pageMargins left="0.75" right="0.75" top="1" bottom="1" header="0.5" footer="0.5"/>
  <pageSetup scale="66" orientation="landscape" r:id="rId1"/>
  <headerFooter alignWithMargins="0"/>
  <ignoredErrors>
    <ignoredError sqref="B4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71</vt:i4>
      </vt:variant>
    </vt:vector>
  </HeadingPairs>
  <TitlesOfParts>
    <vt:vector size="77" baseType="lpstr">
      <vt:lpstr>Sheet1</vt:lpstr>
      <vt:lpstr>Sheet2</vt:lpstr>
      <vt:lpstr>Sheet3</vt:lpstr>
      <vt:lpstr>Sheet4</vt:lpstr>
      <vt:lpstr>Sheet5</vt:lpstr>
      <vt:lpstr>Sheet6</vt:lpstr>
      <vt:lpstr>Company</vt:lpstr>
      <vt:lpstr>Date1</vt:lpstr>
      <vt:lpstr>Date2</vt:lpstr>
      <vt:lpstr>Name</vt:lpstr>
      <vt:lpstr>x13V3_AmSinglBorR</vt:lpstr>
      <vt:lpstr>x13V3_MagnN3</vt:lpstr>
      <vt:lpstr>xV3_AddCapDedInc</vt:lpstr>
      <vt:lpstr>xV3_AddCapDedNotInc</vt:lpstr>
      <vt:lpstr>xV3_Cur_DailyVar</vt:lpstr>
      <vt:lpstr>xV3_Cur_Gold</vt:lpstr>
      <vt:lpstr>xV3_Cur_Long</vt:lpstr>
      <vt:lpstr>xV3_Cur_MaxPos</vt:lpstr>
      <vt:lpstr>xV3_Cur_RiskSt</vt:lpstr>
      <vt:lpstr>xV3_Cur_Short</vt:lpstr>
      <vt:lpstr>xV3_FixCapAmDed</vt:lpstr>
      <vt:lpstr>xV3_GrAddCap</vt:lpstr>
      <vt:lpstr>xV3_GrFixCap</vt:lpstr>
      <vt:lpstr>xV3_GrTotCap</vt:lpstr>
      <vt:lpstr>xV3_NormAddCap</vt:lpstr>
      <vt:lpstr>xV3_NormFixCap</vt:lpstr>
      <vt:lpstr>xV3_NormGrAddCap</vt:lpstr>
      <vt:lpstr>xV3_NormTotCap</vt:lpstr>
      <vt:lpstr>xV3_RWA_OffBal</vt:lpstr>
      <vt:lpstr>xV3_RWA_OffBalAss_R000</vt:lpstr>
      <vt:lpstr>xV3_RWA_OffBalAss_R010</vt:lpstr>
      <vt:lpstr>xV3_RWA_OffBalAss_R020</vt:lpstr>
      <vt:lpstr>xV3_RWA_OffBalAss_R030</vt:lpstr>
      <vt:lpstr>xV3_RWA_OffBalAss_R050</vt:lpstr>
      <vt:lpstr>xV3_RWA_OffBalAss_R075</vt:lpstr>
      <vt:lpstr>xV3_RWA_OffBalAss_R100</vt:lpstr>
      <vt:lpstr>xV3_RWA_OffBalAss_R110</vt:lpstr>
      <vt:lpstr>xV3_RWA_OffBalAss_R150</vt:lpstr>
      <vt:lpstr>xV3_RWA_OffBalAss_R225</vt:lpstr>
      <vt:lpstr>xV3_RWA_OffBalAss000Res</vt:lpstr>
      <vt:lpstr>xV3_RWA_OffBalAss010Res</vt:lpstr>
      <vt:lpstr>xV3_RWA_OffBalAss020Res</vt:lpstr>
      <vt:lpstr>xV3_RWA_OffBalAss030Res</vt:lpstr>
      <vt:lpstr>xV3_RWA_OffBalAss050Res</vt:lpstr>
      <vt:lpstr>xV3_RWA_OffBalAss075Res</vt:lpstr>
      <vt:lpstr>xV3_RWA_OffBalAss100Res</vt:lpstr>
      <vt:lpstr>xV3_RWA_OffBalAss110Res</vt:lpstr>
      <vt:lpstr>xV3_RWA_OffBalAss150Res</vt:lpstr>
      <vt:lpstr>xV3_RWA_OffBalAss225Res</vt:lpstr>
      <vt:lpstr>xV3_RWA_R000</vt:lpstr>
      <vt:lpstr>xV3_RWA_R010</vt:lpstr>
      <vt:lpstr>xV3_RWA_R020</vt:lpstr>
      <vt:lpstr>xV3_RWA_R030</vt:lpstr>
      <vt:lpstr>xV3_RWA_R050</vt:lpstr>
      <vt:lpstr>xV3_RWA_R075</vt:lpstr>
      <vt:lpstr>xV3_RWA_R100</vt:lpstr>
      <vt:lpstr>xV3_RWA_R110</vt:lpstr>
      <vt:lpstr>xV3_RWA_R150</vt:lpstr>
      <vt:lpstr>xV3_RWA_R225</vt:lpstr>
      <vt:lpstr>xV3_RWA_TotAss</vt:lpstr>
      <vt:lpstr>xV3_RWA000Acc</vt:lpstr>
      <vt:lpstr>xV3_RWA010Acc</vt:lpstr>
      <vt:lpstr>xV3_RWA020Acc</vt:lpstr>
      <vt:lpstr>xV3_RWA030Acc</vt:lpstr>
      <vt:lpstr>xV3_RWA050Acc</vt:lpstr>
      <vt:lpstr>xV3_RWA075Acc</vt:lpstr>
      <vt:lpstr>xV3_RWA100Acc</vt:lpstr>
      <vt:lpstr>xV3_RWA110Acc</vt:lpstr>
      <vt:lpstr>xV3_RWA150Acc</vt:lpstr>
      <vt:lpstr>xV3_RWA225Acc</vt:lpstr>
      <vt:lpstr>yV3_Cur_10DayVar</vt:lpstr>
      <vt:lpstr>yV3_Cur_ExcDaysVar</vt:lpstr>
      <vt:lpstr>yV3_Cur_G</vt:lpstr>
      <vt:lpstr>yV3_Cur_Risk</vt:lpstr>
      <vt:lpstr>yV3_MagnN11</vt:lpstr>
      <vt:lpstr>yV3_Ratio</vt:lpstr>
      <vt:lpstr>yV3_RWA</vt:lpstr>
    </vt:vector>
  </TitlesOfParts>
  <Company>C B 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HAMBARDZUMYAN</dc:creator>
  <cp:lastModifiedBy>cloudconvert_18</cp:lastModifiedBy>
  <cp:lastPrinted>2004-09-27T11:42:44Z</cp:lastPrinted>
  <dcterms:created xsi:type="dcterms:W3CDTF">2002-09-05T04:34:35Z</dcterms:created>
  <dcterms:modified xsi:type="dcterms:W3CDTF">2025-11-24T15:23:10Z</dcterms:modified>
</cp:coreProperties>
</file>
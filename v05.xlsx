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c64a08cf-893c-48b4-adf6-cbb69641e99b\"/>
    </mc:Choice>
  </mc:AlternateContent>
  <xr:revisionPtr revIDLastSave="0" documentId="8_{86915A46-F1A4-4C22-8BA7-9633DBFF71D3}" xr6:coauthVersionLast="47" xr6:coauthVersionMax="47" xr10:uidLastSave="{00000000-0000-0000-0000-000000000000}"/>
  <workbookProtection workbookPassword="C105" lockStructure="1"/>
  <bookViews>
    <workbookView xWindow="-120" yWindow="-120" windowWidth="19440" windowHeight="10440"/>
  </bookViews>
  <sheets>
    <sheet name="Sheet1" sheetId="1" r:id="rId1"/>
  </sheets>
  <definedNames>
    <definedName name="_a01">Sheet1!$B$16</definedName>
    <definedName name="a02V5_II_CorAc_Res">Sheet1!$B$17</definedName>
    <definedName name="a03V5_II_CorAc_NonRes">Sheet1!$B$18</definedName>
    <definedName name="_a04">Sheet1!$B$19</definedName>
    <definedName name="a05V5_II_BankFinOrg_ResBank">Sheet1!$B$20</definedName>
    <definedName name="a06V5_II_BankFinOrg_ResFinOrg">Sheet1!$B$21</definedName>
    <definedName name="a07V5_II_BankFinOrg_NonRes">Sheet1!$B$22</definedName>
    <definedName name="_a08">Sheet1!$B$23</definedName>
    <definedName name="a09V5_II_Loan_ResOrg">Sheet1!$B$24</definedName>
    <definedName name="a10V5_II_Loan_ResIndivid">Sheet1!$B$25</definedName>
    <definedName name="a11V5_II_Loan_NonRes">Sheet1!$B$26</definedName>
    <definedName name="a12V5_II_Overn">Sheet1!$B$27</definedName>
    <definedName name="_a13">Sheet1!$B$28</definedName>
    <definedName name="a14V5_II_LoanCard_Res">Sheet1!$B$29</definedName>
    <definedName name="a15V5_II_LoanCard_ResInd">Sheet1!$B$30</definedName>
    <definedName name="a16V5_II_LoanCard_NonRes">Sheet1!$B$31</definedName>
    <definedName name="a17V5_II_LoanCard_NonResInd">Sheet1!$B$32</definedName>
    <definedName name="a18V5_II_Emp_Fund">Sheet1!$B$33</definedName>
    <definedName name="_a19">Sheet1!$B$34</definedName>
    <definedName name="a20V5_II_CredOrgPers_Res">Sheet1!$B$35</definedName>
    <definedName name="a21V5_II_CredOrgPers_NoRes">Sheet1!$B$36</definedName>
    <definedName name="_a22">Sheet1!$B$37</definedName>
    <definedName name="a23V5_II_GovSec_Res">Sheet1!$B$38</definedName>
    <definedName name="a24V5_II_GovSec_NonRes">Sheet1!$B$39</definedName>
    <definedName name="_a25">Sheet1!$B$40</definedName>
    <definedName name="a26V5_II_Repo_Res">Sheet1!$B$41</definedName>
    <definedName name="a27V5_II_Repo_NonRes">Sheet1!$B$42</definedName>
    <definedName name="_a28">Sheet1!$B$43</definedName>
    <definedName name="a29V5_II_BankIssuedSec_Res">Sheet1!$B$44</definedName>
    <definedName name="a30V5_II_BankIssuedSec_NonRes">Sheet1!$B$45</definedName>
    <definedName name="_a31">Sheet1!$B$46</definedName>
    <definedName name="a32V5_II_OrgIssuedSec_Res">Sheet1!$B$47</definedName>
    <definedName name="a33V5_II_OrgIssuedSec_NonRes">Sheet1!$B$48</definedName>
    <definedName name="_a34">Sheet1!$B$49</definedName>
    <definedName name="a35V5_II_Leasing_Res">Sheet1!$B$50</definedName>
    <definedName name="a36V5_II_Leasing_NonRes">Sheet1!$B$51</definedName>
    <definedName name="_a37">Sheet1!$B$52</definedName>
    <definedName name="a38V5_II_Other_Res">Sheet1!$B$53</definedName>
    <definedName name="a39V5_II_Other_NonRes">Sheet1!$B$54</definedName>
    <definedName name="_b01">Sheet1!$B$57</definedName>
    <definedName name="b02V5_IE_DemDepos_ResOrg">Sheet1!$B$58</definedName>
    <definedName name="b03V5_IE_DemDepos_ResIndivid">Sheet1!$B$59</definedName>
    <definedName name="b04V5_IE_DemDepos_ResIndOrg">Sheet1!$B$60</definedName>
    <definedName name="b05V5_IE_DemDepos_ResPublicOrg">Sheet1!$B$61</definedName>
    <definedName name="b06V5_IE_DemDepos_NonResPart">Sheet1!$B$62</definedName>
    <definedName name="b07V5_IE_DemDepos_NonRes">Sheet1!$B$63</definedName>
    <definedName name="_b08">Sheet1!$B$64</definedName>
    <definedName name="b09V5_IE_SecSale_Res">Sheet1!$B$65</definedName>
    <definedName name="b10V5_IE_SecSale_NonRes">Sheet1!$B$66</definedName>
    <definedName name="_b11">Sheet1!$B$67</definedName>
    <definedName name="b12V5_IE_BankFinOrg_ResBank">Sheet1!$B$68</definedName>
    <definedName name="b13V5_IE_BankFinOrg_ResFinOrg">Sheet1!$B$69</definedName>
    <definedName name="b14V5_IE_BankFinOrg_NonRes">Sheet1!$B$70</definedName>
    <definedName name="_b15">Sheet1!$B$71</definedName>
    <definedName name="b16V5_IE_AttrDep_ResOrg">Sheet1!$B$72</definedName>
    <definedName name="b17V5_IE_AttrDep_ResIndivid">Sheet1!$B$73</definedName>
    <definedName name="b18V5_IE_AttrDep_ResIndOrg">Sheet1!$B$74</definedName>
    <definedName name="b19V5_IE_AttrDep_ResPublicOrg">Sheet1!$B$75</definedName>
    <definedName name="b20V5_IE_AttrDep_NonRes">Sheet1!$B$76</definedName>
    <definedName name="b21V5_IE_AttrDep_OthNonRes">Sheet1!$B$77</definedName>
    <definedName name="_b22">Sheet1!$B$78</definedName>
    <definedName name="b23V5_IE_GovSec_Cred">Sheet1!$B$79</definedName>
    <definedName name="b24V5_IE_GovSec_Oth">Sheet1!$B$80</definedName>
    <definedName name="b25V5_IE_GovSec_LocGov">Sheet1!$B$81</definedName>
    <definedName name="b26V5_IE_GovSec_OthGov">Sheet1!$B$82</definedName>
    <definedName name="b27V5_IE_InterFinOrg">Sheet1!$B$83</definedName>
    <definedName name="_b28">Sheet1!$B$84</definedName>
    <definedName name="b29V5_IE_OverdrOvern_Res">Sheet1!$B$85</definedName>
    <definedName name="b30V5_IE_OverdrOvern_NonRes">Sheet1!$B$86</definedName>
    <definedName name="b31V5_IE_BankSec">Sheet1!$B$87</definedName>
    <definedName name="_b32">Sheet1!$B$88</definedName>
    <definedName name="b33V5_IE_Leasing_Res">Sheet1!$B$89</definedName>
    <definedName name="b34V5_IE_Leasing_NonRes">Sheet1!$B$90</definedName>
    <definedName name="_b35">Sheet1!$B$91</definedName>
    <definedName name="b36V5_IE_Other_Res">Sheet1!$B$92</definedName>
    <definedName name="b37V5_IE_Other_NoRes">Sheet1!$B$93</definedName>
    <definedName name="Company">Sheet1!$C$8</definedName>
    <definedName name="_d01">Sheet1!$B$97</definedName>
    <definedName name="d02V5_NII_Services_Res">Sheet1!$B$98</definedName>
    <definedName name="d03V5_NII_Services_NoRes">Sheet1!$B$99</definedName>
    <definedName name="_d04">Sheet1!$B$100</definedName>
    <definedName name="d05V5_NII_Guaranties_Res">Sheet1!$B$101</definedName>
    <definedName name="d06V5_NII_Guaranties_NoRes">Sheet1!$B$102</definedName>
    <definedName name="_d07">Sheet1!$B$103</definedName>
    <definedName name="d08V5_NII_ForwardFutures_Res">Sheet1!$B$104</definedName>
    <definedName name="d09V5_NII_ForwardFutures_NonRe">Sheet1!$B$105</definedName>
    <definedName name="_d10">Sheet1!$B$106</definedName>
    <definedName name="d11V5_NII_Factoring_Res">Sheet1!$B$107</definedName>
    <definedName name="d12V5_NII_Factoring_NonRes">Sheet1!$B$108</definedName>
    <definedName name="_d13">Sheet1!$B$109</definedName>
    <definedName name="d14V5_NII_Investm_Divid">Sheet1!$B$110</definedName>
    <definedName name="d15V5_NII_Investm_Accos">Sheet1!$B$111</definedName>
    <definedName name="d16V5_NII_Investm_Sup">Sheet1!$B$112</definedName>
    <definedName name="d17V5_NII_Investm_SubBank">Sheet1!$B$113</definedName>
    <definedName name="d18V5_NII_Investm_OthSub">Sheet1!$B$114</definedName>
    <definedName name="_d19">Sheet1!$B$115</definedName>
    <definedName name="d20V5_NII_SecSold_Res">Sheet1!$B$116</definedName>
    <definedName name="d21V5_NII_SecSold_ResNonGov">Sheet1!$B$117</definedName>
    <definedName name="d22V5_NII_SecSold_NoRes">Sheet1!$B$118</definedName>
    <definedName name="d23V5_NII_SecSold_NoRes_NonGov">Sheet1!$B$119</definedName>
    <definedName name="_d24">Sheet1!$B$120</definedName>
    <definedName name="d25V5_NII_RevSecSold">Sheet1!$B$121</definedName>
    <definedName name="d26V5_NII_RevSecSold_NonGov">Sheet1!$B$122</definedName>
    <definedName name="d27V5_NII_FXOperat">Sheet1!$B$123</definedName>
    <definedName name="d28V5_NII_FXReval">Sheet1!$B$124</definedName>
    <definedName name="d29V5_NII_FixAssDispos">Sheet1!$B$125</definedName>
    <definedName name="d30V5_NII_Revaluation">Sheet1!$B$126</definedName>
    <definedName name="d31V5_NII_InTAss">Sheet1!$B$127</definedName>
    <definedName name="d32V5_NII_InTAss_Reval">Sheet1!$B$128</definedName>
    <definedName name="_d33">Sheet1!$B$129</definedName>
    <definedName name="d34V5_NII_FinAss_Reval_Gov">Sheet1!$B$130</definedName>
    <definedName name="d35V5_NII_FinAss_Reval_NonGov">Sheet1!$B$131</definedName>
    <definedName name="d36V5_NII_Gold">Sheet1!$B$132</definedName>
    <definedName name="d37V5_NII_InvestServ">Sheet1!$B$133</definedName>
    <definedName name="d39V5_NII_FeesPenalt">Sheet1!$B$134</definedName>
    <definedName name="d40V5_NII_Other">Sheet1!$B$135</definedName>
    <definedName name="Date1">Sheet1!$C$9</definedName>
    <definedName name="Date2">Sheet1!$C$10</definedName>
    <definedName name="e01V5_NIE_SalPaym">Sheet1!$B$138</definedName>
    <definedName name="e02V5_NIE_Travel">Sheet1!$B$139</definedName>
    <definedName name="e03V5_NIE_InsurPensUnimpFund">Sheet1!$B$140</definedName>
    <definedName name="e04V5_NIE_Taxes">Sheet1!$B$141</definedName>
    <definedName name="e05V5_NIE_FixAssDeprec">Sheet1!$B$142</definedName>
    <definedName name="e06V5_NIE_LeasePay">Sheet1!$B$143</definedName>
    <definedName name="e07V5_NIE_BuildMaintenance">Sheet1!$B$144</definedName>
    <definedName name="e08V5_NIE_Cred">Sheet1!$B$145</definedName>
    <definedName name="e09V5_NIE_AdverRepres">Sheet1!$B$146</definedName>
    <definedName name="e10V5_NIE_Stationery">Sheet1!$B$147</definedName>
    <definedName name="e11V5_NIE_AudAdvisServ">Sheet1!$B$148</definedName>
    <definedName name="e12V5_NIE_HardSoft">Sheet1!$B$149</definedName>
    <definedName name="e13V5_NIE_Transport">Sheet1!$B$150</definedName>
    <definedName name="e14V5_NIE_Communicat">Sheet1!$B$151</definedName>
    <definedName name="e15V5_NIE_FeesPenalt">Sheet1!$B$152</definedName>
    <definedName name="_e16">Sheet1!$B$153</definedName>
    <definedName name="e17V5_NIE_Training_AM">Sheet1!$B$154</definedName>
    <definedName name="e18V5_NIE_Training_In">Sheet1!$B$155</definedName>
    <definedName name="e19V5_NIE_Commissions">Sheet1!$B$156</definedName>
    <definedName name="e20V5_NIE_Insh">Sheet1!$B$157</definedName>
    <definedName name="e21V5_NIE_Sec">Sheet1!$B$158</definedName>
    <definedName name="e23V5_NIE_Other">Sheet1!$B$159</definedName>
    <definedName name="_e24">Sheet1!$B$160</definedName>
    <definedName name="_e25">Sheet1!$B$161</definedName>
    <definedName name="_e26">Sheet1!$B$162</definedName>
    <definedName name="e27V5_Asign_LLRF_GeneralRes">Sheet1!$B$163</definedName>
    <definedName name="e28V5_Asign_LLRF_SpecialRes">Sheet1!$B$164</definedName>
    <definedName name="e29V5_Asign_SecLRF">Sheet1!$B$165</definedName>
    <definedName name="e30V5_Assign_BankAcr">Sheet1!$B$166</definedName>
    <definedName name="_e31">Sheet1!$B$167</definedName>
    <definedName name="_e32">Sheet1!$B$168</definedName>
    <definedName name="e33V5_Collect_LLRF_GeneralRes">Sheet1!$B$169</definedName>
    <definedName name="e34V5_Collect_LLRF_SpecialRes">Sheet1!$B$170</definedName>
    <definedName name="e35V5_Collect_LLRF_SpecialResC">Sheet1!$B$171</definedName>
    <definedName name="e36V5_Collect_SecLRF">Sheet1!$B$172</definedName>
    <definedName name="e37V5_Collect_BankAcr">Sheet1!$B$173</definedName>
    <definedName name="_e38">Sheet1!$B$174</definedName>
    <definedName name="_e39">Sheet1!$B$175</definedName>
    <definedName name="_e40">Sheet1!$B$176</definedName>
    <definedName name="_e41">Sheet1!$B$177</definedName>
    <definedName name="e42V5_ProfTax">Sheet1!$B$178</definedName>
    <definedName name="_e43">Sheet1!$B$179</definedName>
    <definedName name="_e44">Sheet1!$B$180</definedName>
    <definedName name="e45V5_DividPrefSh">Sheet1!$B$181</definedName>
    <definedName name="e46V5_DividOrdinSh">Sheet1!$B$182</definedName>
    <definedName name="_e47">Sheet1!$B$183</definedName>
    <definedName name="Name">Sheet1!$B$6</definedName>
    <definedName name="x39b">Sheet1!$D$56</definedName>
    <definedName name="x40a">Sheet1!$D$15</definedName>
    <definedName name="x41d">Sheet1!$D$96</definedName>
    <definedName name="x47e">Sheet1!$D$137</definedName>
    <definedName name="yV5_Attendants">Sheet1!$C$186</definedName>
    <definedName name="yV5_Employees">Sheet1!$C$185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3" i="1" l="1"/>
  <c r="C160" i="1"/>
  <c r="D71" i="1"/>
  <c r="C71" i="1"/>
  <c r="D97" i="1"/>
  <c r="D100" i="1"/>
  <c r="D103" i="1"/>
  <c r="D106" i="1"/>
  <c r="D109" i="1"/>
  <c r="D115" i="1"/>
  <c r="D120" i="1"/>
  <c r="D129" i="1"/>
  <c r="D136" i="1"/>
  <c r="C97" i="1"/>
  <c r="C100" i="1"/>
  <c r="C103" i="1"/>
  <c r="C106" i="1"/>
  <c r="C109" i="1"/>
  <c r="C115" i="1"/>
  <c r="C120" i="1"/>
  <c r="C129" i="1"/>
  <c r="C136" i="1"/>
  <c r="C161" i="1"/>
  <c r="C180" i="1"/>
  <c r="C67" i="1"/>
  <c r="C57" i="1"/>
  <c r="C64" i="1"/>
  <c r="C78" i="1"/>
  <c r="C84" i="1"/>
  <c r="C88" i="1"/>
  <c r="C91" i="1"/>
  <c r="C19" i="1"/>
  <c r="C49" i="1"/>
  <c r="C52" i="1"/>
  <c r="C16" i="1"/>
  <c r="C23" i="1"/>
  <c r="C28" i="1"/>
  <c r="C34" i="1"/>
  <c r="C37" i="1"/>
  <c r="C40" i="1"/>
  <c r="C43" i="1"/>
  <c r="C46" i="1"/>
  <c r="C167" i="1"/>
  <c r="C174" i="1"/>
  <c r="D153" i="1"/>
  <c r="D160" i="1"/>
  <c r="D67" i="1"/>
  <c r="D57" i="1"/>
  <c r="D64" i="1"/>
  <c r="D78" i="1"/>
  <c r="D84" i="1"/>
  <c r="D88" i="1"/>
  <c r="D91" i="1"/>
  <c r="D19" i="1"/>
  <c r="D49" i="1"/>
  <c r="D52" i="1"/>
  <c r="D16" i="1"/>
  <c r="D23" i="1"/>
  <c r="D28" i="1"/>
  <c r="D34" i="1"/>
  <c r="D37" i="1"/>
  <c r="D40" i="1"/>
  <c r="D43" i="1"/>
  <c r="D46" i="1"/>
  <c r="D167" i="1"/>
  <c r="D174" i="1"/>
  <c r="D175" i="1"/>
  <c r="D180" i="1"/>
  <c r="D55" i="1"/>
  <c r="C94" i="1"/>
  <c r="C175" i="1"/>
  <c r="D161" i="1"/>
  <c r="D94" i="1"/>
  <c r="D95" i="1"/>
  <c r="C55" i="1"/>
  <c r="C95" i="1"/>
  <c r="C177" i="1"/>
  <c r="C179" i="1"/>
  <c r="C183" i="1"/>
  <c r="D177" i="1"/>
  <c r="D179" i="1"/>
  <c r="D183" i="1"/>
</calcChain>
</file>

<file path=xl/sharedStrings.xml><?xml version="1.0" encoding="utf-8"?>
<sst xmlns="http://schemas.openxmlformats.org/spreadsheetml/2006/main" count="266" uniqueCount="234">
  <si>
    <t>Ð²ÞìºîìàôÂÚàôÜ</t>
  </si>
  <si>
    <t>²Ùë³ÃÇíÁ</t>
  </si>
  <si>
    <t>Ã. -Çó</t>
  </si>
  <si>
    <t>ÙÇÝã¨</t>
  </si>
  <si>
    <t>Ã.</t>
  </si>
  <si>
    <t>Ñ³½.¹ñ³Ù</t>
  </si>
  <si>
    <t>²Üì²ÜàôØÀ</t>
  </si>
  <si>
    <t>Ü³Ëáñ¹ Å³Ù³Ý³-Ï³ßñç³Ý</t>
  </si>
  <si>
    <t>Ð³ßí»ïáõ Å³Ù³Ý³Ï³ßñç³Ý</t>
  </si>
  <si>
    <t>1. îàÎàê²ÚÆÜ ºÎ²ØàôîÜºð</t>
  </si>
  <si>
    <t>1.1.1</t>
  </si>
  <si>
    <t xml:space="preserve">  è»½Ç¹»Ýï µ³ÝÏ»ñÇó</t>
  </si>
  <si>
    <t>1.1.2</t>
  </si>
  <si>
    <t>1.2.1</t>
  </si>
  <si>
    <t>1.2.2</t>
  </si>
  <si>
    <t>1.2.3</t>
  </si>
  <si>
    <t>1.3.1</t>
  </si>
  <si>
    <t>1.3.2</t>
  </si>
  <si>
    <t xml:space="preserve">  è»½Ç¹»Ýï ³ÛÉ ýÇÝ³Ýë³Ï³Ý Ï³½Ù³Ï»ñåáõÃÛáõÝÝ»ñÇó</t>
  </si>
  <si>
    <t>1.3.3</t>
  </si>
  <si>
    <t xml:space="preserve">  àã é»½Ç¹»Ýï µ³ÝÏ»ñÇó ¨ ³ÛÉ ýÇÝ³Ýë³Ï³Ý Ï³½Ù³Ï»ñåáõÃÛáõÝÝ»ñÇó</t>
  </si>
  <si>
    <t>îÝï»ëáõÃÛ³ÝÁ ïñí³Í í³ñÏ»ñÇó</t>
  </si>
  <si>
    <t>1.5.1</t>
  </si>
  <si>
    <t>1.5.2</t>
  </si>
  <si>
    <t>1.5.3</t>
  </si>
  <si>
    <t>1.5.4</t>
  </si>
  <si>
    <t>ì³ñÏ³ÛÇÝ ù³ñï»ñÇó ëï³óí³Í ïáÏáëÝ»ñ</t>
  </si>
  <si>
    <t xml:space="preserve">  è»½Ç¹»Ýï</t>
  </si>
  <si>
    <t xml:space="preserve">  àã é»½Ç¹»Ýï</t>
  </si>
  <si>
    <t>ä»ï³Ï³Ý ·³ÝÓ³å»ï³Ï³Ý ³ñÅ»ÃÕÃ»ñÇó ëï³óí³Í ïáÏáëÝ»ñ</t>
  </si>
  <si>
    <t>1.7.1</t>
  </si>
  <si>
    <t>1.7.2</t>
  </si>
  <si>
    <t>1.9.1</t>
  </si>
  <si>
    <t>1.9.2</t>
  </si>
  <si>
    <t>1.10.1</t>
  </si>
  <si>
    <t>1.10.2</t>
  </si>
  <si>
    <t>1.11.1</t>
  </si>
  <si>
    <t>1.11.2</t>
  </si>
  <si>
    <t>²ÛÉ ïáÏáë³ÛÇÝ »Ï³ÙáõïÝ»ñ</t>
  </si>
  <si>
    <t>ÀÝ¹³Ù»ÝÁ ïáÏáë³ÛÇÝ »Ï³ÙáõïÝ»ñ</t>
  </si>
  <si>
    <t>2. îáÏáë³ÛÇÝ Í³Ëë»ñ</t>
  </si>
  <si>
    <t>2.1.1</t>
  </si>
  <si>
    <t>2.1.2</t>
  </si>
  <si>
    <t>2.2.1</t>
  </si>
  <si>
    <t>2.2.2</t>
  </si>
  <si>
    <t>2.4.1</t>
  </si>
  <si>
    <t>2.4.2</t>
  </si>
  <si>
    <t>2.5.1</t>
  </si>
  <si>
    <t>2.5.2</t>
  </si>
  <si>
    <t>2.5.3</t>
  </si>
  <si>
    <t>ØÇç³½·³ÛÇÝ ýÇÝ³Ýë³Ï³Ý Ï³½Ù³Ï»ñåáõÃÛáõÝÝ»ñÇó Ý»ñ·ñ³í³Í ÙÇçáóÝ»ñÇ ¹ÇÙ³ó í×³ñí³Í ïáÏáëÝ»ñ</t>
  </si>
  <si>
    <t>²ÛÉ ïáÏáë³ÛÇÝ Í³Ëë»ñ</t>
  </si>
  <si>
    <t>ÀÝ¹³Ù»ÝÁ ïáÏáë³ÛÇÝ Í³Ëë»ñ</t>
  </si>
  <si>
    <t>¼áõï ïáÏáë³ÛÇÝ »Ï³ÙáõïÝ»ñ</t>
  </si>
  <si>
    <t>3. àã ïáÏáë³ÛÇÝ »Ï³ÙáõïÝ»ñ</t>
  </si>
  <si>
    <t>3.4.1</t>
  </si>
  <si>
    <t>3.4.2</t>
  </si>
  <si>
    <t>ü³ÏïáñÇÝ·Çó ëï³óí³Í ½áõï »Ï³ÙáõïÝ»ñ</t>
  </si>
  <si>
    <t>3.5.1</t>
  </si>
  <si>
    <t>3.5.2</t>
  </si>
  <si>
    <t>²ñÅ»ÃÕÃ»ñÇ í³×³éùÇó ëï³óí³Í ½áõï »Ï³ÙáõïÝ»ñ</t>
  </si>
  <si>
    <t>²ñï³ñÅáõÛÃÇ ³éù áõ í³×³éùÇó ëï³óí³Í ½áõï »Ï³ÙáõïÝ»ñ</t>
  </si>
  <si>
    <t>²ñï³ñÅáõÛÃÇ í»ñ³·Ý³Ñ³ïáõÙÇó ëï³óí³Í ¹ñ³Ï³Ý (µ³ó³ë³Ï³Ý) ÷áË³ñÅ»ù³ÛÇÝ ï³ñµ»ñáõÃÛáõÝ</t>
  </si>
  <si>
    <t>3.10</t>
  </si>
  <si>
    <t>ÐÇÙÝ³Ï³Ý ÙÇçáóÝ»ñÇ ûï³ñáõÙÇó ëï³óí³Í ½áõï »Ï³ÙáõïÝ»ñ</t>
  </si>
  <si>
    <t>êï³óí³Í ïáõÛÅ»ñ, ïáõ·³ÝùÝ»ñ</t>
  </si>
  <si>
    <t>²ÛÉ áã ïáÏáë³ÛÇÝ »Ï³ÙáõïÝ»ñ</t>
  </si>
  <si>
    <t>ÀÝ¹³Ù»ÝÁ áã ïáÏáë³ÛÇÝ »Ï³ÙáõïÝ»ñ</t>
  </si>
  <si>
    <t>4. àã ïáÏáë³ÛÇÝ Í³Ëë»ñ</t>
  </si>
  <si>
    <t>¶áñÍáõÕÙ³Ý Í³Ëë»ñ</t>
  </si>
  <si>
    <t>Ð³ñÏ»ñ, ïáõñù»ñ ¨ ³ÛÉ å³ñï³¹Çñ í×³ñÝ»ñ</t>
  </si>
  <si>
    <t>²ÙáñïÇ½³óÇáÝ Ù³ëÑ³ÝáõÙÝ»ñ</t>
  </si>
  <si>
    <t>¶áí³½¹³ÛÇÝ,  Ý»ñÏ³Û³óáõóã³Ï³Ý Í³Ëë»ñ</t>
  </si>
  <si>
    <t>¶ñ³ë»ÝÛ³Ï³ÛÇÝ ¨ ïå³·ñ³Ï³Ý Í³Ëë»ñ</t>
  </si>
  <si>
    <t>²áõ¹Çï³ÛÇÝ ¨ ËáñÑñ¹³ïí³Ï³Ý Í³é³ÛáõÃÛáõÝÝ»ñÇ ·Íáí Í³Ëë»ñ</t>
  </si>
  <si>
    <t>îñ³Ýëåáñï³ÛÇÝ Í³Ëë»ñ</t>
  </si>
  <si>
    <t>Î³åÇ ¨ Ñ³Õáñ¹³ÏóÙ³Ý ÙÇçáóÝ»ñÇ ·Íáí Í³Ëë»ñ</t>
  </si>
  <si>
    <t>ì×³ñí³Í ïáõÛÅ»ñ, ïáõ·³ÝùÝ»ñ</t>
  </si>
  <si>
    <t>àõëáõóÙ³Ý Í³Ëë»ñ</t>
  </si>
  <si>
    <t>²ÛÉ áã ïáÏáë³ÛÇÝ Í³Ëë»ñ</t>
  </si>
  <si>
    <t>ÀÝ¹³Ù»ÝÁ áã ïáÏáë³ÛÇÝ Í³Ëë»ñ</t>
  </si>
  <si>
    <t>¼áõï áã ïáÏáë³ÛÇÝ »Ï³ÙáõïÝ»ñ</t>
  </si>
  <si>
    <t>5. Ð³ïÏ³óáõÙÝ»ñ ³ÏïÇíÝ»ñÇ ÑÝ³ñ³íáñ ÏáñáõëïÝ»ñÇ å³ÑáõëïÝ»ñÇÝ</t>
  </si>
  <si>
    <t>ì³ñÏ»ñÇ ¨ ¹»µÇïáñ³Ï³Ý å³ñïù»ñÇ ÑÝ³ñ³íáñ ÏáñáõëïÝ»ñÇ ÁÝ¹Ñ³Ýáõñ å³ÑáõëïÇÝ</t>
  </si>
  <si>
    <t>ì³ñÏ»ñÇ ¨ ¹»µÇïáñ³Ï³Ý å³ñïù»ñÇ ÑÝ³ñ³íáñ ÏáñáõëïÝ»ñÇ Ñ³ïáõÏ å³ÑáõëïÇÝ</t>
  </si>
  <si>
    <t>²ñÅ»ÃÕÃ»ñÇ ÑÝ³ñ³íáñ ÏáñáõëïÝ»ñÇ å³ÑáõëïÇÝ</t>
  </si>
  <si>
    <t>ÀÝ¹³Ù»ÝÁ Ñ³ïÏ³óáõÙÝ»ñ</t>
  </si>
  <si>
    <t>6. ²ÏïÇíÝ»ñÇ ÑÝ³ñ³íáñ ÏáñáõëïÝ»ñÇ å³ÑáõëïÝ»ñÇÝ Ï³ï³ñí³Í Ù³ëÑ³ÝáõÙÝ»ñÇ í»ñ³¹³ñÓ</t>
  </si>
  <si>
    <t>ì³ñÏ»ñÇ ¨ ¹»µÇïáñ³Ï³Ý å³ñïù»ñÇ ÑÝ³ñ³íáñ ÏáñáõëïÝ»ñÇ ÁÝ¹Ñ³Ýáõñ å³ÑáõëïÇó</t>
  </si>
  <si>
    <t>ì³ñÏ»ñÇ ¨ ¹»µÇïáñ³Ï³Ý å³ñïù»ñÇ ÑÝ³ñ³íáñ ÏáñáõëïÝ»ñÇ Ñ³ïáõÏ å³ÑáõëïÇó</t>
  </si>
  <si>
    <t>²ñÅ»ÃÕÃ»ñÇ ÑÝ³ñ³íáñ ÏáñáõëïÝ»ñÇ å³ÑáõëïÇó</t>
  </si>
  <si>
    <t>ÀÝ¹³Ù»ÝÁ í»ñ³¹³ñÓ</t>
  </si>
  <si>
    <t>¼áõï Ù³ëÑ³ÝáõÙÝ»ñ</t>
  </si>
  <si>
    <t>Þ³ÑáõÛÃ ÙÇÝã¨ Ñ³ñÏí»ÉÁ</t>
  </si>
  <si>
    <t>Þ³ÑáõÃ³Ñ³ñÏ</t>
  </si>
  <si>
    <t>¼áõï ß³ÑáõÛÃ</t>
  </si>
  <si>
    <t>âµ³ßËí³Í ß³ÑáõÛÃ</t>
  </si>
  <si>
    <t xml:space="preserve">                                                            Î.î.                                                                                  (·áñÍ³¹Çñ ïÝûñ»Ý)</t>
  </si>
  <si>
    <t xml:space="preserve">     ¶ÉË³íáñ Ñ³ßí³å³Ñ  </t>
  </si>
  <si>
    <t xml:space="preserve">   è»½Ç¹»Ýï µ³ÝÏ»ñÇó</t>
  </si>
  <si>
    <t xml:space="preserve">   àã é»½Ç¹»Ýï µ³ÝÏ»ñÇó</t>
  </si>
  <si>
    <t xml:space="preserve">  è»½Ç¹»Ýï Çñ³í³µ³Ý³Ï³Ý ³ÝÓ³ÝóÇó ¨ ÑÇÙÝ³ñÏÝ»ñÇó</t>
  </si>
  <si>
    <t xml:space="preserve">²ßË³ï³ÏÇóÝ»ñÇÝ ïñ³Ù³¹ñí³Í ÙÇçáóÝ»ñÇó </t>
  </si>
  <si>
    <t>1.12.1</t>
  </si>
  <si>
    <t>1.12.2</t>
  </si>
  <si>
    <t>Î³½Ù³Ï»ñåáõÃÛáõÝÝ»ñÇ ÏáÕÙÇó ÃáÕ³ñÏí³Í ³ñÅ»ÃÕÃ»ñÇó ëï³óí³Í ïáÏáëÝ»ñ</t>
  </si>
  <si>
    <t>1.13.1</t>
  </si>
  <si>
    <t>1.13.2</t>
  </si>
  <si>
    <t>2.3.1</t>
  </si>
  <si>
    <t>2.7.1</t>
  </si>
  <si>
    <t>2.7.2</t>
  </si>
  <si>
    <t xml:space="preserve">  ¶³ÝÓ³å»ï³ñ³ÝÇó ëï³óí³Í í³ñÏ»ñÇ ¹ÇÙ³ó</t>
  </si>
  <si>
    <t>2.9.1</t>
  </si>
  <si>
    <t>2.9.2</t>
  </si>
  <si>
    <t>2.12.2</t>
  </si>
  <si>
    <t>êï³óí³Í ÙÇçÝáñ¹³í×³ñÝ»ñ</t>
  </si>
  <si>
    <t xml:space="preserve">   3.1.1</t>
  </si>
  <si>
    <t xml:space="preserve">   3.1.2</t>
  </si>
  <si>
    <t xml:space="preserve">   3.2.1</t>
  </si>
  <si>
    <t xml:space="preserve">   3.2.2</t>
  </si>
  <si>
    <t>²ÛÉ Ï³½Ù³Ï»ñåáõÃÛáõÝÝ»ñáõÙ Ý»ñ¹ñáõÙÝ»ñÇó ëï³óí³Í »Ï³ÙáõïÝ»ñ</t>
  </si>
  <si>
    <t xml:space="preserve">   Ü»ñ¹ñáõÙÝ»ñÇó ß³Ñ³µ³ÅÇÝÝ»ñ</t>
  </si>
  <si>
    <t xml:space="preserve">   Ð³Ù³ï»Õ í»ñ³ÑëÏíáÕ ÙÇ³íáñÝ»ñáõÙ Ý»ñ¹ñáõÙÝ»ñÇó ½áõï ß³ÑáõÛÃ / íÝ³ë</t>
  </si>
  <si>
    <t xml:space="preserve">   ²ÛÉ ¹áõëïñ ÁÝÏ»ñáõÃÛáõÝÝ»ñáõÙ Ý»ñ¹ñáõÙÝ»ñÇó ½áõï ß³ÑáõÛÃ / íÝ³ë</t>
  </si>
  <si>
    <t>ÐÇÙÝ³Ï³Ý ÙÇçáóÝ»ñÇ í»ñ³·Ý³Ñ³ïáõÙÇó ëï³óí³Í ½áõï »Ï³ÙáõïÝ»ñ</t>
  </si>
  <si>
    <t>Ð³ßí³ñÏí³Í ³ßË³ï³í³ñÓ ¨ ¹ñ³Ý Ñ³í³ë³ñ»óí³Í ³ÛÉ í×³ñáõÙÝ»ñ (ïñí³Í ³ÛÉ ÷áËÑ³ïáõóáõÙÝ»ñ ¨ ëáóÇ³É³Ï³Ý å³Ñ³ÝçÝ»ñÇ ýÇÝ³Ýë³íáñáõÙ)</t>
  </si>
  <si>
    <t>ì³ñÏ»ñÇ ïñ³Ù³¹ñÙ³Ý ¨ í»ñ³¹³ñÓÙ³Ý ·Íáí Í³Ëë»ñ</t>
  </si>
  <si>
    <t xml:space="preserve">  4.16.1</t>
  </si>
  <si>
    <t xml:space="preserve">  4.16.2</t>
  </si>
  <si>
    <t>ì×³ñí³Í ÙÇçÝáñ¹³í×³ñÝ»ñ</t>
  </si>
  <si>
    <t>²å³Ñáí³·ñáõÃÛ³Ý ·Íáí Í³Ëë»ñ</t>
  </si>
  <si>
    <t xml:space="preserve">   ³Û¹ ÃíáõÙ` ¹³ë³Ï³ñ·í³Í, µ³Ûó ¹»é¨ë ¹áõñë ã·ñí³Í ³ÏïÇíÝ»ñÇ ·Íáí </t>
  </si>
  <si>
    <t>Ð³ßí³ñÏí³Í ß³Ñ³µ³ÅÇÝÝ»ñ</t>
  </si>
  <si>
    <t xml:space="preserve">     ³Û¹ ÃíáõÙ` ³ñïáÝÛ³É µ³ÅÝ»ïáÙë»ñÇ ·Íáí</t>
  </si>
  <si>
    <t xml:space="preserve">                     ëáíáñ³Ï³Ý µ³ÅÝ»ïáÙë»ñÇ ·Íáí</t>
  </si>
  <si>
    <t xml:space="preserve">  àã é»½Ç¹»Ýï Çñ³í³µ³Ý³Ï³Ý ³ÝÓ³ÝóÇó ¨ ÑÇÙÝ³ñÏÝ»ñÇó</t>
  </si>
  <si>
    <t xml:space="preserve">    ³Û¹ ÃíáõÙª   ëå³ë³ñÏáÕ ³ÝÓÝ³Ï³½ÙÇ</t>
  </si>
  <si>
    <t>²é¨ïñ³ÛÇÝ µ³ÝÏ»ñáõÙ ¨ ³ÛÉ ýÇÝ³Ýë³Ï³Ý Ï³½Ù³Ï»ñåáõÃÛáõÝÝ»ñáõÙ ï»Õ³µ³ßËí³Í ÙÇçáóÝ»ñÇó ëï³óí³Í ïáÏáëÝ»ñ</t>
  </si>
  <si>
    <t>²é¨ïñ³ÛÇÝ µ³ÝÏ»ñÇó ¨ ³ÛÉ ýÇÝ³Ýë³Ï³Ý Ï³½Ù³Ï»ñåáõÃÛáõÝÝ»ñÇó Ý»ñ·ñ³í³Í ÙÇçáóÝ»ñÇ ¹ÇÙ³ó í×³ñí³Í ïáÏáëÝ»ñ</t>
  </si>
  <si>
    <t>6.2.1</t>
  </si>
  <si>
    <t>Ò¨ 5</t>
  </si>
  <si>
    <t>ì³ñÏ³ÛÇÝ Ï³½Ù³Ï»ñåáõÃÛ³Ý  »Ï³ÙáõïÝ»ñÇ ¨ Í³Ëë»ñÇ í»ñ³µ»ñÛ³É</t>
  </si>
  <si>
    <t>ì³ñÏ³ÛÇÝ Ï³½Ù³Ï»ñåáõÃÛ³Ý ³Ýí³ÝáõÙÁ</t>
  </si>
  <si>
    <t>´³ÝÏ³ÛÇÝ Ñ³ßÇíÝ»ñÇó</t>
  </si>
  <si>
    <t xml:space="preserve">  è»½Ç¹»Ýï ýÇ½ÇÏ³Ï³Ý ³ÝÓ³ÝóÇó ¨ ³ÝÑ³ï Ó»éÝ³ñÏ³ï»ñ»ñÇó</t>
  </si>
  <si>
    <t xml:space="preserve">  àã é»½Ç¹»Ýï ÑÇÙÝ³ñÏÝ»ñÇó,³ÝÑ³ï Ó»éÝ³ñÏ³ï»ñ»ñÇó, Çñ³í³µ³Ý³Ï³Ý ¨ ýÇ½ÇÏ³Ï³Ý ³ÝÓ³ÝóÇó</t>
  </si>
  <si>
    <r>
      <t xml:space="preserve"> </t>
    </r>
    <r>
      <rPr>
        <sz val="10"/>
        <rFont val="Arial Armenian"/>
        <family val="2"/>
      </rPr>
      <t>àã é»½Ç¹»Ýï µ³ÝÏ»ñÇÝ ïñ³Ù³¹ñí³Í</t>
    </r>
    <r>
      <rPr>
        <b/>
        <i/>
        <sz val="10"/>
        <rFont val="Arial Armenian"/>
        <family val="2"/>
      </rPr>
      <t xml:space="preserve"> </t>
    </r>
    <r>
      <rPr>
        <sz val="10"/>
        <rFont val="Arial Armenian"/>
        <family val="2"/>
      </rPr>
      <t>û</t>
    </r>
    <r>
      <rPr>
        <sz val="10"/>
        <rFont val="Arial Armenian"/>
        <family val="2"/>
      </rPr>
      <t>í»ñÝ³ÛÃÇó ëï³óí³Í ïáÏáëÝ»ñ</t>
    </r>
  </si>
  <si>
    <t xml:space="preserve"> àã é»½Ç¹»Ýï ýÇ½ÇÏ³Ï³Ý ³ÝÓ³ÝóÇó ¨ ³ÝÑ³ï Ó»éÝ³ñÏ³ï»ñ»ñÇó</t>
  </si>
  <si>
    <t>ì³ñÏ³ÛÇÝ Ï³½Ù³Ï»ñåáõÃÛ³Ý Ñ»ï Ï³åí³Í ³ÝÓ³Ýó Ùáï ï»Õ³µ³Ëßí³Í ÙÇçáóÝ»ñÇóª µ³ÝÏ³ÛÇÝ Ñ³ßÇíÝ»ñÇó, ³í³Ý¹Ý»ñÇó, í³ñÏ»ñÇó ¨ ³ÛÉ ÷áË³éáõÃÛáõÝÝ»ñÇó</t>
  </si>
  <si>
    <t>1.8.1</t>
  </si>
  <si>
    <t>1.8.2</t>
  </si>
  <si>
    <t>²ñÅáõÃ³ÛÇÝ ëíáåÇó ¨ é»åá Ñ³Ù³Ó³ÛÝ³·ñ»ñÇó ëï³óí³Í ïáÏáëÝ»ñ</t>
  </si>
  <si>
    <t>´³ÝÏ»ñÇ ¨ ³ÛÉ ýÇÝ³Ýë³Ï³Ý Ï³½Ù³Ï»ñåáõÃÛáõÝÝ»ñÇ ÏáÕÙÇó ÃáÕ³ñÏí³Í ³ñÅ»ÃÕÃ»ñÇó ëï³óí³Í ïáÏáëÝ»ñ</t>
  </si>
  <si>
    <t>üÇÝ³Ýë³Ï³Ý í³ñÓ³Ï³ÉáõÃÛáõÝÇó ëï³óí³Í ïáÏáëÝ»ñ</t>
  </si>
  <si>
    <r>
      <t>ò</t>
    </r>
    <r>
      <rPr>
        <sz val="10"/>
        <rFont val="Arial Armenian"/>
        <family val="2"/>
      </rPr>
      <t>å³Ñ³Ýç ÷áË³éáõÃÛáõÝÝ»ñÇ ¹ÇÙ³ó í×³ñí³Í ïáÏáëÝ»ñ</t>
    </r>
  </si>
  <si>
    <t xml:space="preserve">  è»½Ç¹»Ýï Çñ³í³µ³Ý³Ï³Ý ³ÝÓ³Ýó ¨ ÑÇÙÝ³ñÏÝ»ñÇ ÷áË³éáõÃÛáõÝÝ»ñÇ</t>
  </si>
  <si>
    <t>2.1.3</t>
  </si>
  <si>
    <t xml:space="preserve">  è»½Ç¹»Ýï ³ÝÑ³ï Ó»éÝ³ñÏ³ï»ñ»ñÇ ÷áË³éáõÃÛáõÝÝ»ñÇ</t>
  </si>
  <si>
    <t>2.1.4</t>
  </si>
  <si>
    <r>
      <t xml:space="preserve">  è»½Ç¹»Ýï áã ³é¨ïñ³ÛÇÝ Çñ³í³µ³Ý³Ï³Ý ³ÝÓ³Ýó</t>
    </r>
    <r>
      <rPr>
        <sz val="10"/>
        <color indexed="10"/>
        <rFont val="Arial Armenian"/>
        <family val="2"/>
      </rPr>
      <t xml:space="preserve"> </t>
    </r>
    <r>
      <rPr>
        <sz val="10"/>
        <rFont val="Arial Armenian"/>
        <family val="2"/>
      </rPr>
      <t>÷áË³éáõÃÛáõÝÝ»ñÇ</t>
    </r>
  </si>
  <si>
    <t>2.1.5</t>
  </si>
  <si>
    <t xml:space="preserve">  àã é»½Ç¹»ÝïÝ»ñÇ ÷áË³éáõÃÛáõÝÝ»ñÇ</t>
  </si>
  <si>
    <t>²ñÅáõÃ³ÛÇÝ ëíáåÇ ¨ é»åá Ñ³Ù³Ó³ÛÝ³·ñ»ñÇ ¹ÇÙ³ó í×³ñí³Í ïáÏáëÝ»ñ</t>
  </si>
  <si>
    <t>2.3.2</t>
  </si>
  <si>
    <r>
      <t xml:space="preserve">  è»½Ç¹»Ýï </t>
    </r>
    <r>
      <rPr>
        <sz val="10"/>
        <rFont val="Arial Armenian"/>
        <family val="2"/>
      </rPr>
      <t>ýÇÝ³Ýë³Ï³Ý Ï³½Ù³Ï»ñåáõÃÛáõÝÝ»ñÇó</t>
    </r>
  </si>
  <si>
    <t>2.3.3</t>
  </si>
  <si>
    <t>Ä³ÙÏ»ï³ÛÇÝ  ÷áË³éáõÃÛáõÝÝ»ñÇ ¹ÇÙ³ó í×³ñí³Í  ïáÏáëÝ»ñ</t>
  </si>
  <si>
    <t xml:space="preserve">  è»½Ç¹»Ýï Çñ³í³µ³Ý³Ï³Ý ³ÝÓ³Ýó ¨ ÑÇÙÝ³ñÏÝ»ñÇ  ÷áË³éáõÃÛáõÝÝ»ñÇ</t>
  </si>
  <si>
    <t>2.4.3</t>
  </si>
  <si>
    <t>2.4.4</t>
  </si>
  <si>
    <t xml:space="preserve">  è»½Ç¹»Ýï áã ³é¨ïñ³ÛÇÝ Çñ³í³µ³Ý³Ï³Ý ³ÝÓ³Ýó ÷áË³éáõÃÛáõÝÝ»ñÇ</t>
  </si>
  <si>
    <t>2.4.5</t>
  </si>
  <si>
    <t>ÐÐ Ï³é³í³ñáõÃÛ³Ý ÝÏ³ïÙ³Ùµ ³ÛÉ å³ñï³íáñáõÃÛáõÝÝ»ñÇ ¹ÇÙ³ó</t>
  </si>
  <si>
    <t>î»Õ³Ï³Ý ÇÝùÝ³Ï³é³í³ñÙ³Ý Ù³ñÙÇÝÝÝ»ñÇ ÝÏ³ïÙ³Ùµ ³ÛÉ å³ñï³íáñáõÃÛáõÝÝ»ñÇ ¹ÇÙ³ó</t>
  </si>
  <si>
    <t>2.5.4</t>
  </si>
  <si>
    <t>²ÛÉ å»ïáõÃÛáõÝÝ»ñÇ Ï³é³í³ñáõÃÛáõÝÝ»ñÇ ÝÏ³ïÙ³Ùµ å³ñï³íáñáõÃÛáõÝÝ»ñÇ ¹ÇÙ³ó</t>
  </si>
  <si>
    <t>è»½Ç¹»Ýï</t>
  </si>
  <si>
    <t>àã é»½Ç¹»Ýï</t>
  </si>
  <si>
    <t>îáÏáë³ÛÇÝ Í³Ëë»ñ í³ñÏ³ÛÇÝ Ï³½Ù³Ï»ñåáõÃÛ³Ý ÏáÕÙÇó ÃáÕ³ñÏí³Í ³ñÅ»ÃÕÃ»ñÇ ¹ÇÙ³ó</t>
  </si>
  <si>
    <t>üÇÝ³Ýë³Ï³Ý í³ñÓ³Ï³ÉáõÃÛ³Ý ¹ÇÙ³ó í×³ñí³Í ïáÏáëÝ»ñ</t>
  </si>
  <si>
    <t>2.11.1</t>
  </si>
  <si>
    <t>ºñ³ßËÇùÝ»ñÇó, ÑáÅ³ñ³·ñ»ñáí, Ñ³í³ï³ñÙ³·ñ³ÛÇÝ Ï³é³í³ñÙ³Ý ·áñÍ³éÝáõÃÛáõÝÝ»ñÇó ëï³óí³Í »Ï³ÙáõïÝ»ñ</t>
  </si>
  <si>
    <t>Ð»ç³íáñÙ³Ý ³Í³ÝóÛ³É ·áñÍÇùÝ»ñÇó ½áõï »Ï³ÙáõïÝ»ñ</t>
  </si>
  <si>
    <t>3.3.1</t>
  </si>
  <si>
    <t>3.3.2</t>
  </si>
  <si>
    <t xml:space="preserve">   ²ëáóÇ³óí³Í Ï³½Ù³Ï»ñåáõÃÛáõÝÝ»ñáõÙ Ý»ñ¹ñáõÙÝ»ñÇó ½áõï ß³ÑáõÛÃ / íÝ³ë</t>
  </si>
  <si>
    <t>3.5.3</t>
  </si>
  <si>
    <t>3.5.4</t>
  </si>
  <si>
    <t xml:space="preserve">   ¸áõëïñ µ³ÝÏ»ñáõÙ ¨ í³ñÏ³ÛÇÝ Ï³½Ù³Ï»ñåáõÃÛáõÝÝ»ñáõÙ Ý»ñ¹ñáõÙÝ»ñÇó ½áõï ß³ÑáõÛÃ / íÝ³ë</t>
  </si>
  <si>
    <t>3.5.5</t>
  </si>
  <si>
    <t xml:space="preserve">   3.6.1</t>
  </si>
  <si>
    <t xml:space="preserve">  è»½Ç¹»ÝïÇóª å»ï³Ï³Ý ³ñÅ»ÃÕÃ»ñÇ ·Íáí</t>
  </si>
  <si>
    <t xml:space="preserve">   3.6.2</t>
  </si>
  <si>
    <t xml:space="preserve">  è»½Ç¹»ÝïÇóª  áã å»ï³Ï³Ý ³ñÅ»ÃÕÃ»ñÇ ·Íáí</t>
  </si>
  <si>
    <t xml:space="preserve">   3.6.3</t>
  </si>
  <si>
    <t xml:space="preserve">  àã é»½Ç¹»ÝïÇóª å»ï³Ï³Ý ³ñÅ»ÃÕÃ»ñÇ ·Íáí</t>
  </si>
  <si>
    <t xml:space="preserve">   3.6.4</t>
  </si>
  <si>
    <t xml:space="preserve">  àã é»½Ç¹»ÝïÇóª  áã å»ï³Ï³Ý ³ñÅ»ÃÕÃ»ñÇ ·Íáí</t>
  </si>
  <si>
    <t>è»åá  Ñ³Ù³Ó³ÛÝ³·ñ»ñáí Ó»éù µ»ñí³Í ³ñÅ»ÃÕÃ»ñÇ í»ñ³í³×³éùÇó ½áõï »Ï³ÙáõïÝ»ñ</t>
  </si>
  <si>
    <t>3.7.1</t>
  </si>
  <si>
    <t xml:space="preserve"> ä»ï³Ï³Ý ³ñÅ»ÃÕÃ»ñÇ í»ñ³í³×³éùÇó ½áõï »Ï³Ùáõï</t>
  </si>
  <si>
    <t>3.7.2</t>
  </si>
  <si>
    <t xml:space="preserve"> à ã å»ï³Ï³Ý ³ñÅ»ÃÕÃ»ñÇ í»ñ³í³×³éùÇó ½áõï »Ï³Ùáõï</t>
  </si>
  <si>
    <t>3.9</t>
  </si>
  <si>
    <t xml:space="preserve">àã ÝÛáõÃ³Ï³Ý ³ÏïÇíÝ»ñÇ ûï³ñáõÙÇó ëï³óí³Í ½áõï »Ï³ÙáõïÝ»ñ </t>
  </si>
  <si>
    <t xml:space="preserve">àã ÝÛáõÃ³Ï³Ý ³ÏïÇíÝ»ñÇ í»ñ³·Ý³Ñ³ïáõÙÇó ëï³óí³Í ½áõï »Ï³ÙáõïÝ»ñ </t>
  </si>
  <si>
    <t>3.14.1</t>
  </si>
  <si>
    <t xml:space="preserve"> ä»ï³Ï³Ý ³ñÅ»ÃÕÃ»ñÇ í»ñ³·Ý³Ñ³ïáõÙÇó ½áõï »Ï³Ùáõï</t>
  </si>
  <si>
    <t>3.14.2</t>
  </si>
  <si>
    <t xml:space="preserve"> àã  å»ï³Ï³Ý ³ñÅ»ÃÕÃ»ñÇ í»ñ³·Ý³Ñ³ïáõÙÇó ½áõï »Ï³Ùáõï</t>
  </si>
  <si>
    <t xml:space="preserve"> Â³ÝÏ³ñÅ»ù Ù»ï³ÕÝ»ñÇ µ³ÝÏ³ÛÇÝ ëï³Ý¹³ñï³óí³Í ÓáõÉ³ÏïáñÝ»ñáí ¨ Ñáõß³¹ñ³ÙÝ»ñáí  ·áñÍ³éÝáõÃÛáõÝÝ»ñÇó ½áõï »Ï³Ùáõï</t>
  </si>
  <si>
    <t>Ð³ïÏ³óáõÙÝ»ñ å³ñï³¹Çñ ëáóÇ³É³Ï³Ý ³å³Ñáí³·ñáõÃÛ³Ý í×³ñáõÙÝ»ñÇ ·Íáí</t>
  </si>
  <si>
    <t>ì³ñÏ³ÛÇÝ Ï³½Ù³Ï»ñåáõÃÛ³Ý ß»ÝùÇ ¨ ³ÛÉ ÑÇÙÝ³Ï³Ý ÙÇçáóÝ»ñÇ í³ñÓ³Ï³ÉáõÃÛ³Ý  í×³ñ</t>
  </si>
  <si>
    <t>Þ»Ýù»ñÇ ïÝï»ë³Ï³Ý å³Ñå³ÝáõÃÛ³Ý ¨ ³Ýíï³Ý·áõÃÛ³Ý ³å³ÑáíÙ³Ý Í³Ëë»ñ</t>
  </si>
  <si>
    <t>ì³ñÏ³ÛÇÝ Ï³½Ù³Ï»ñåáõÃÛ³Ý ë³ñù³íáñáõÙÝ»ñÇ ëå³ë³ñÏÙ³Ý ¨ å³Ñå³ÝÙ³Ý ·Íáí Í³Ëë»ñ</t>
  </si>
  <si>
    <t>ÐÐ  ï³ñ³ÍùáõÙ</t>
  </si>
  <si>
    <t>²ñï³ë³ÑÙ³ÝáõÙ</t>
  </si>
  <si>
    <t>ºñ³ßËÇùÝ»ñÇó, å³ñï³ÙáõñÑ³ÏÝ»ñÇ ÁÝ¹áõÝÙ³Ý ¨ ÉÇ³½áñ³·ñ³ÛÇÝ ·áñÍ³éÝáõÃÛáõÝÝ»ñÇ ·Íáí Í³Ëë»ñ</t>
  </si>
  <si>
    <t>´³ÝÏ³ÛÇÝ »ñ³ßËÇùÝ»ñÇ ¨ ³ÛÉ å³ÛÙ³Ý³Ï³Ý å³ñï³íáñáõÃÛáõÝÝ»ñÇ å³ÑáõëïÇÝ</t>
  </si>
  <si>
    <t>´³ÝÏ³ÛÇÝ »ñ³ßËÇùÝ»ñÇ ¨ ³ÛÉ å³ÛÙ³Ý³Ï³Ý å³ñï³íáñáõÃÛáõÝÝ»ñÇ å³ÑáõëïÇó</t>
  </si>
  <si>
    <t>ì³ñÏ³ÛÇÝ Ï³½Ù³Ï»ñåáõÃÛ³Ý ³ßË³ï³ÏÇóÝ»ñÇ Ãí³ù³Ý³ÏÁ</t>
  </si>
  <si>
    <t xml:space="preserve">   ì³ñÏ³ÛÇÝ Ï³½ÙÏ³Ï»ñåáõÃÛ³Ý í³ñãáõÃÛ³Ý Ý³Ë³·³Ñ</t>
  </si>
  <si>
    <t xml:space="preserve">  è»½Ç¹»Ýï Ù³ëÝ³ÏÇóÝ»ñÇ ÷áË³éáõÃÛáõÝÝ»ñÇ</t>
  </si>
  <si>
    <t>2.1.6</t>
  </si>
  <si>
    <t xml:space="preserve">  àã é»½Ç¹»Ýï Ù³ëÝ³ÏÇóÝ»ñó</t>
  </si>
  <si>
    <t xml:space="preserve">  àã é»½Ç¹»Ýï Ù³ëÝ³ÏÇóÝ»ñÇ ÷áË³éáõÃÛáõÝÝ»ñÇ</t>
  </si>
  <si>
    <t>2.4.6</t>
  </si>
  <si>
    <t xml:space="preserve">  ²ÛÉ áã é»½Ç¹»ÝïÝ»ñÇ ÷áË³éáõÃÛáõÝÝ»ñÇ</t>
  </si>
  <si>
    <t>îáÏáë³ÛÇÝ Í³Ëë»ñ Ð³Û³ëï³ÝÇ Ð³Ýñ³å»ïáõÃÛ³Ý  Ï³é³í³ñáõÃÛ³Ý  ¨ ³ÛÉ å»ïáõÃÛáõÝÝ»ñÇ Ï³é³í³ñáõÃÛáõÝÝÝ»ñÇ ÝÏ³ïÙ³Ùµ å³ñï³íáñáõÃÛáõÝÝ»ñÇ ¹ÇÙ³ó</t>
  </si>
  <si>
    <t>Ü»ñ¹ñáõÙ³ÛÇÝ Í³é³ÛáõÃÛáõÝÝ»ñÇ Ù³ïáõóáõÙÇó ëï³óí³Í ½áõï »Ï³Ùáõï</t>
  </si>
  <si>
    <t>Ð²ìºÈì²Ì 3
Ð³Û³ëï³ÝÇ Ð³Ýñ³å»ïáõÃÛ³Ý Ï»ÝïñáÝ³Ï³Ý µ³ÝÏÇ ËáñÑñ¹Ç
2008 Ãí³Ï³ÝÇ ÝáÛ»Ùµ»ñÇ 4-Ç ÃÇí 298-ÜáñáßÙ³Ý</t>
  </si>
  <si>
    <t>úí»ñ¹ñ³ýïÝ»ñÇ ¨ í³ñÏ³ÛÇÝ ·Í»ñÇ ¹ÇÙ³ó í×³ñí³Í ïáÏáëÝ»ñ</t>
  </si>
  <si>
    <t>Þ³ÑáõÛÃ/íÝ³ëáí í»ñ³ã³÷íáÕ Çñ³Ï³Ý ³ñÅ»ùáí Ñ³ßí³éíáÕ ¨ Çñ³Ï³Ý ³ñÅ»ùáí  ³ÛÉ Ñ³Ù³å³ñ÷³Ï ýÇÝ³Ýë³Ï³Ý ³ñ¹ÛáõÝùÇ ÙÇçáóáí ã³÷íáÕ ýÇÝ³Ýë³Ï³Ý ³ÏïÇíÝ»ñÇ í»ñ³·Ý³Ñ³ïáõÙÇó ëï³óí³Í ½áõï »Ï³Ùáõï</t>
  </si>
  <si>
    <t>2021_August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</si>
</sst>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"/>
  </numFmts>
  <fonts count="16">
    <font>
      <sz val="10"/>
      <name val="Arial Armenian"/>
    </font>
    <font>
      <sz val="10"/>
      <name val="Arial Armenian"/>
      <family val="2"/>
    </font>
    <font>
      <sz val="10"/>
      <name val="Arial Armenian"/>
      <family val="2"/>
    </font>
    <font>
      <sz val="12"/>
      <name val="Arial Armenian"/>
      <family val="2"/>
    </font>
    <font>
      <sz val="11"/>
      <name val="Arial Armenian"/>
      <family val="2"/>
    </font>
    <font>
      <sz val="10"/>
      <name val="Times Armenian"/>
      <family val="1"/>
    </font>
    <font>
      <sz val="9"/>
      <name val="Arial Armenian"/>
      <family val="2"/>
    </font>
    <font>
      <b/>
      <i/>
      <sz val="11"/>
      <name val="Arial Armenian"/>
      <family val="2"/>
    </font>
    <font>
      <b/>
      <sz val="10"/>
      <name val="Arial Armenian"/>
      <family val="2"/>
    </font>
    <font>
      <b/>
      <sz val="9"/>
      <name val="Arial Armenian"/>
      <family val="2"/>
    </font>
    <font>
      <sz val="10"/>
      <name val="Times Armenian"/>
      <family val="1"/>
    </font>
    <font>
      <sz val="10"/>
      <color indexed="10"/>
      <name val="Arial Armenian"/>
      <family val="2"/>
    </font>
    <font>
      <sz val="11"/>
      <name val="Times Armenian"/>
      <family val="1"/>
    </font>
    <font>
      <b/>
      <i/>
      <sz val="10"/>
      <name val="Arial Armenian"/>
      <family val="2"/>
    </font>
    <font>
      <i/>
      <sz val="10"/>
      <name val="Arial Armenian"/>
      <family val="2"/>
    </font>
    <font>
      <sz val="10"/>
      <color theme="0"/>
      <name val="Arial Armenian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 applyProtection="1"/>
    <xf numFmtId="0" fontId="4" fillId="0" borderId="0" xfId="0" applyFont="1" applyProtection="1"/>
    <xf numFmtId="0" fontId="2" fillId="0" borderId="0" xfId="0" applyFont="1" applyAlignment="1" applyProtection="1">
      <alignment horizontal="center"/>
    </xf>
    <xf numFmtId="0" fontId="2" fillId="0" borderId="0" xfId="0" applyFont="1"/>
    <xf numFmtId="0" fontId="2" fillId="0" borderId="0" xfId="0" applyFont="1" applyFill="1" applyProtection="1"/>
    <xf numFmtId="0" fontId="3" fillId="0" borderId="0" xfId="0" applyFont="1" applyFill="1" applyAlignment="1" applyProtection="1">
      <alignment horizontal="centerContinuous"/>
    </xf>
    <xf numFmtId="0" fontId="5" fillId="0" borderId="0" xfId="0" applyFont="1" applyFill="1"/>
    <xf numFmtId="0" fontId="6" fillId="0" borderId="0" xfId="0" applyFont="1" applyFill="1" applyAlignment="1" applyProtection="1">
      <alignment horizontal="right"/>
    </xf>
    <xf numFmtId="49" fontId="2" fillId="0" borderId="1" xfId="0" applyNumberFormat="1" applyFont="1" applyFill="1" applyBorder="1" applyAlignment="1" applyProtection="1">
      <alignment horizontal="center" vertical="top" wrapText="1"/>
    </xf>
    <xf numFmtId="49" fontId="2" fillId="0" borderId="2" xfId="0" applyNumberFormat="1" applyFont="1" applyFill="1" applyBorder="1" applyAlignment="1" applyProtection="1">
      <alignment horizontal="center" vertical="top" wrapText="1"/>
    </xf>
    <xf numFmtId="0" fontId="2" fillId="0" borderId="3" xfId="0" quotePrefix="1" applyFont="1" applyFill="1" applyBorder="1" applyAlignment="1">
      <alignment horizontal="right"/>
    </xf>
    <xf numFmtId="0" fontId="2" fillId="0" borderId="4" xfId="0" quotePrefix="1" applyFont="1" applyFill="1" applyBorder="1" applyAlignment="1">
      <alignment horizontal="left"/>
    </xf>
    <xf numFmtId="0" fontId="2" fillId="0" borderId="3" xfId="0" applyFont="1" applyFill="1" applyBorder="1" applyAlignment="1">
      <alignment horizontal="right"/>
    </xf>
    <xf numFmtId="0" fontId="2" fillId="0" borderId="3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/>
    </xf>
    <xf numFmtId="0" fontId="8" fillId="0" borderId="5" xfId="0" quotePrefix="1" applyFont="1" applyFill="1" applyBorder="1" applyAlignment="1">
      <alignment horizontal="left"/>
    </xf>
    <xf numFmtId="0" fontId="2" fillId="0" borderId="0" xfId="0" applyFont="1" applyFill="1"/>
    <xf numFmtId="0" fontId="6" fillId="0" borderId="0" xfId="0" quotePrefix="1" applyFont="1" applyFill="1" applyAlignment="1" applyProtection="1">
      <alignment horizontal="center"/>
    </xf>
    <xf numFmtId="0" fontId="4" fillId="0" borderId="0" xfId="0" applyFont="1" applyFill="1" applyProtection="1"/>
    <xf numFmtId="0" fontId="2" fillId="0" borderId="0" xfId="0" applyFont="1" applyFill="1" applyAlignment="1" applyProtection="1">
      <alignment horizont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quotePrefix="1" applyFont="1" applyFill="1" applyBorder="1" applyAlignment="1">
      <alignment horizontal="left" vertical="center" wrapText="1"/>
    </xf>
    <xf numFmtId="0" fontId="2" fillId="0" borderId="3" xfId="0" quotePrefix="1" applyFont="1" applyFill="1" applyBorder="1" applyAlignment="1">
      <alignment horizontal="left" vertical="center" wrapText="1"/>
    </xf>
    <xf numFmtId="0" fontId="8" fillId="0" borderId="5" xfId="0" applyFont="1" applyFill="1" applyBorder="1"/>
    <xf numFmtId="0" fontId="8" fillId="0" borderId="8" xfId="0" applyFont="1" applyFill="1" applyBorder="1"/>
    <xf numFmtId="2" fontId="2" fillId="0" borderId="3" xfId="0" applyNumberFormat="1" applyFont="1" applyFill="1" applyBorder="1" applyAlignment="1">
      <alignment horizontal="left" vertical="center" wrapText="1"/>
    </xf>
    <xf numFmtId="2" fontId="2" fillId="0" borderId="3" xfId="0" quotePrefix="1" applyNumberFormat="1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right"/>
    </xf>
    <xf numFmtId="0" fontId="6" fillId="0" borderId="0" xfId="0" quotePrefix="1" applyFont="1" applyFill="1" applyAlignment="1">
      <alignment horizontal="right"/>
    </xf>
    <xf numFmtId="0" fontId="9" fillId="0" borderId="0" xfId="0" applyFont="1" applyFill="1" applyBorder="1" applyProtection="1"/>
    <xf numFmtId="3" fontId="10" fillId="0" borderId="0" xfId="0" applyNumberFormat="1" applyFont="1" applyFill="1" applyProtection="1"/>
    <xf numFmtId="3" fontId="10" fillId="0" borderId="0" xfId="0" applyNumberFormat="1" applyFont="1" applyFill="1" applyBorder="1" applyAlignment="1" applyProtection="1">
      <alignment horizontal="right"/>
    </xf>
    <xf numFmtId="3" fontId="10" fillId="0" borderId="9" xfId="0" quotePrefix="1" applyNumberFormat="1" applyFont="1" applyFill="1" applyBorder="1" applyAlignment="1" applyProtection="1">
      <alignment horizontal="center" vertical="top" wrapText="1"/>
    </xf>
    <xf numFmtId="3" fontId="10" fillId="0" borderId="10" xfId="0" applyNumberFormat="1" applyFont="1" applyFill="1" applyBorder="1" applyAlignment="1" applyProtection="1">
      <alignment horizontal="center" vertical="center" wrapText="1"/>
    </xf>
    <xf numFmtId="3" fontId="10" fillId="0" borderId="0" xfId="0" applyNumberFormat="1" applyFont="1" applyProtection="1"/>
    <xf numFmtId="3" fontId="10" fillId="0" borderId="11" xfId="0" applyNumberFormat="1" applyFont="1" applyFill="1" applyBorder="1" applyProtection="1">
      <protection locked="0"/>
    </xf>
    <xf numFmtId="3" fontId="10" fillId="0" borderId="11" xfId="0" applyNumberFormat="1" applyFont="1" applyBorder="1" applyProtection="1">
      <protection locked="0"/>
    </xf>
    <xf numFmtId="14" fontId="10" fillId="0" borderId="11" xfId="0" applyNumberFormat="1" applyFont="1" applyFill="1" applyBorder="1" applyAlignment="1" applyProtection="1">
      <alignment horizontal="right"/>
      <protection locked="0"/>
    </xf>
    <xf numFmtId="0" fontId="6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Fill="1" applyAlignment="1" applyProtection="1">
      <alignment horizontal="right"/>
    </xf>
    <xf numFmtId="0" fontId="12" fillId="0" borderId="0" xfId="0" applyFont="1" applyFill="1" applyAlignment="1" applyProtection="1">
      <alignment horizontal="centerContinuous"/>
    </xf>
    <xf numFmtId="3" fontId="2" fillId="0" borderId="4" xfId="0" applyNumberFormat="1" applyFont="1" applyFill="1" applyBorder="1" applyAlignment="1" applyProtection="1">
      <alignment horizontal="right"/>
      <protection locked="0"/>
    </xf>
    <xf numFmtId="3" fontId="2" fillId="0" borderId="4" xfId="0" applyNumberFormat="1" applyFont="1" applyFill="1" applyBorder="1" applyAlignment="1" applyProtection="1">
      <protection locked="0"/>
    </xf>
    <xf numFmtId="0" fontId="1" fillId="0" borderId="4" xfId="0" quotePrefix="1" applyFont="1" applyFill="1" applyBorder="1" applyAlignment="1">
      <alignment horizontal="left" vertical="center" wrapText="1"/>
    </xf>
    <xf numFmtId="3" fontId="2" fillId="0" borderId="4" xfId="0" applyNumberFormat="1" applyFont="1" applyFill="1" applyBorder="1" applyAlignment="1" applyProtection="1">
      <alignment horizontal="right"/>
    </xf>
    <xf numFmtId="173" fontId="2" fillId="0" borderId="3" xfId="0" applyNumberFormat="1" applyFont="1" applyFill="1" applyBorder="1" applyAlignment="1">
      <alignment horizontal="left" vertical="center" wrapText="1"/>
    </xf>
    <xf numFmtId="2" fontId="2" fillId="0" borderId="3" xfId="0" quotePrefix="1" applyNumberFormat="1" applyFont="1" applyFill="1" applyBorder="1" applyAlignment="1">
      <alignment horizontal="right" vertical="center" wrapText="1"/>
    </xf>
    <xf numFmtId="0" fontId="2" fillId="0" borderId="8" xfId="0" applyFont="1" applyFill="1" applyBorder="1" applyAlignment="1">
      <alignment horizontal="left" vertical="center" wrapText="1"/>
    </xf>
    <xf numFmtId="3" fontId="8" fillId="0" borderId="4" xfId="0" applyNumberFormat="1" applyFont="1" applyFill="1" applyBorder="1" applyAlignment="1" applyProtection="1">
      <alignment horizontal="right"/>
      <protection locked="0"/>
    </xf>
    <xf numFmtId="3" fontId="8" fillId="0" borderId="12" xfId="0" applyNumberFormat="1" applyFont="1" applyFill="1" applyBorder="1" applyAlignment="1" applyProtection="1">
      <protection locked="0"/>
    </xf>
    <xf numFmtId="3" fontId="2" fillId="0" borderId="12" xfId="0" applyNumberFormat="1" applyFont="1" applyFill="1" applyBorder="1" applyAlignment="1" applyProtection="1">
      <protection locked="0"/>
    </xf>
    <xf numFmtId="3" fontId="2" fillId="0" borderId="12" xfId="0" applyNumberFormat="1" applyFont="1" applyFill="1" applyBorder="1" applyAlignment="1" applyProtection="1"/>
    <xf numFmtId="0" fontId="2" fillId="0" borderId="7" xfId="0" quotePrefix="1" applyFont="1" applyFill="1" applyBorder="1" applyAlignment="1">
      <alignment horizontal="left" vertical="center" wrapText="1"/>
    </xf>
    <xf numFmtId="3" fontId="2" fillId="0" borderId="7" xfId="0" applyNumberFormat="1" applyFont="1" applyFill="1" applyBorder="1" applyAlignment="1" applyProtection="1">
      <alignment horizontal="right"/>
      <protection locked="0"/>
    </xf>
    <xf numFmtId="3" fontId="2" fillId="0" borderId="13" xfId="0" applyNumberFormat="1" applyFont="1" applyFill="1" applyBorder="1" applyAlignment="1" applyProtection="1">
      <protection locked="0"/>
    </xf>
    <xf numFmtId="0" fontId="8" fillId="0" borderId="0" xfId="0" quotePrefix="1" applyFont="1" applyFill="1" applyBorder="1" applyAlignment="1">
      <alignment horizontal="left"/>
    </xf>
    <xf numFmtId="3" fontId="8" fillId="0" borderId="0" xfId="0" applyNumberFormat="1" applyFont="1" applyFill="1" applyBorder="1" applyAlignment="1">
      <alignment horizontal="right"/>
    </xf>
    <xf numFmtId="0" fontId="2" fillId="0" borderId="4" xfId="0" quotePrefix="1" applyFont="1" applyFill="1" applyBorder="1" applyAlignment="1">
      <alignment horizontal="left" wrapText="1"/>
    </xf>
    <xf numFmtId="0" fontId="2" fillId="0" borderId="3" xfId="0" quotePrefix="1" applyFont="1" applyFill="1" applyBorder="1" applyAlignment="1">
      <alignment horizontal="right" vertical="center" wrapText="1"/>
    </xf>
    <xf numFmtId="173" fontId="2" fillId="0" borderId="3" xfId="0" applyNumberFormat="1" applyFont="1" applyFill="1" applyBorder="1" applyAlignment="1">
      <alignment horizontal="right" vertical="center" wrapText="1"/>
    </xf>
    <xf numFmtId="3" fontId="10" fillId="0" borderId="0" xfId="0" applyNumberFormat="1" applyFont="1" applyFill="1" applyBorder="1" applyAlignment="1" applyProtection="1">
      <alignment horizontal="left"/>
    </xf>
    <xf numFmtId="3" fontId="2" fillId="0" borderId="7" xfId="0" applyNumberFormat="1" applyFont="1" applyFill="1" applyBorder="1" applyAlignment="1" applyProtection="1">
      <alignment horizontal="right"/>
    </xf>
    <xf numFmtId="3" fontId="2" fillId="0" borderId="13" xfId="0" applyNumberFormat="1" applyFont="1" applyFill="1" applyBorder="1" applyAlignment="1" applyProtection="1">
      <alignment horizontal="right"/>
    </xf>
    <xf numFmtId="3" fontId="2" fillId="0" borderId="12" xfId="0" applyNumberFormat="1" applyFont="1" applyFill="1" applyBorder="1" applyAlignment="1" applyProtection="1">
      <alignment horizontal="right"/>
    </xf>
    <xf numFmtId="3" fontId="8" fillId="0" borderId="8" xfId="0" applyNumberFormat="1" applyFont="1" applyFill="1" applyBorder="1" applyAlignment="1" applyProtection="1">
      <alignment horizontal="right"/>
    </xf>
    <xf numFmtId="3" fontId="8" fillId="0" borderId="14" xfId="0" applyNumberFormat="1" applyFont="1" applyFill="1" applyBorder="1" applyAlignment="1" applyProtection="1">
      <alignment horizontal="right"/>
    </xf>
    <xf numFmtId="3" fontId="2" fillId="0" borderId="13" xfId="0" applyNumberFormat="1" applyFont="1" applyFill="1" applyBorder="1" applyAlignment="1" applyProtection="1"/>
    <xf numFmtId="3" fontId="8" fillId="0" borderId="14" xfId="0" applyNumberFormat="1" applyFont="1" applyFill="1" applyBorder="1" applyAlignment="1" applyProtection="1"/>
    <xf numFmtId="3" fontId="13" fillId="0" borderId="9" xfId="0" applyNumberFormat="1" applyFont="1" applyFill="1" applyBorder="1" applyAlignment="1" applyProtection="1">
      <alignment horizontal="right"/>
    </xf>
    <xf numFmtId="3" fontId="13" fillId="0" borderId="10" xfId="0" applyNumberFormat="1" applyFont="1" applyFill="1" applyBorder="1" applyAlignment="1" applyProtection="1"/>
    <xf numFmtId="3" fontId="8" fillId="0" borderId="13" xfId="0" applyNumberFormat="1" applyFont="1" applyFill="1" applyBorder="1" applyAlignment="1" applyProtection="1">
      <alignment horizontal="right"/>
    </xf>
    <xf numFmtId="3" fontId="8" fillId="0" borderId="9" xfId="0" applyNumberFormat="1" applyFont="1" applyFill="1" applyBorder="1" applyAlignment="1" applyProtection="1">
      <alignment horizontal="right"/>
    </xf>
    <xf numFmtId="3" fontId="8" fillId="0" borderId="10" xfId="0" applyNumberFormat="1" applyFont="1" applyFill="1" applyBorder="1" applyAlignment="1" applyProtection="1">
      <alignment horizontal="right"/>
    </xf>
    <xf numFmtId="3" fontId="8" fillId="0" borderId="7" xfId="0" applyNumberFormat="1" applyFont="1" applyFill="1" applyBorder="1" applyAlignment="1" applyProtection="1">
      <alignment horizontal="right"/>
    </xf>
    <xf numFmtId="3" fontId="8" fillId="0" borderId="4" xfId="0" applyNumberFormat="1" applyFont="1" applyFill="1" applyBorder="1" applyAlignment="1" applyProtection="1">
      <alignment horizontal="right"/>
    </xf>
    <xf numFmtId="3" fontId="8" fillId="0" borderId="12" xfId="0" applyNumberFormat="1" applyFont="1" applyFill="1" applyBorder="1" applyAlignment="1" applyProtection="1">
      <alignment horizontal="right"/>
    </xf>
    <xf numFmtId="3" fontId="13" fillId="0" borderId="8" xfId="0" applyNumberFormat="1" applyFont="1" applyFill="1" applyBorder="1" applyAlignment="1" applyProtection="1">
      <alignment horizontal="right"/>
    </xf>
    <xf numFmtId="3" fontId="13" fillId="0" borderId="14" xfId="0" applyNumberFormat="1" applyFont="1" applyFill="1" applyBorder="1" applyAlignment="1" applyProtection="1">
      <alignment horizontal="right"/>
    </xf>
    <xf numFmtId="3" fontId="8" fillId="0" borderId="7" xfId="0" applyNumberFormat="1" applyFont="1" applyFill="1" applyBorder="1" applyAlignment="1" applyProtection="1">
      <alignment horizontal="right"/>
      <protection locked="0"/>
    </xf>
    <xf numFmtId="3" fontId="8" fillId="0" borderId="13" xfId="0" applyNumberFormat="1" applyFont="1" applyFill="1" applyBorder="1" applyAlignment="1" applyProtection="1">
      <alignment horizontal="right"/>
      <protection locked="0"/>
    </xf>
    <xf numFmtId="3" fontId="8" fillId="0" borderId="12" xfId="0" applyNumberFormat="1" applyFont="1" applyFill="1" applyBorder="1" applyAlignment="1" applyProtection="1">
      <alignment horizontal="right"/>
      <protection locked="0"/>
    </xf>
    <xf numFmtId="3" fontId="14" fillId="0" borderId="4" xfId="0" applyNumberFormat="1" applyFont="1" applyFill="1" applyBorder="1" applyAlignment="1" applyProtection="1">
      <alignment horizontal="right"/>
      <protection locked="0"/>
    </xf>
    <xf numFmtId="3" fontId="14" fillId="0" borderId="12" xfId="0" applyNumberFormat="1" applyFont="1" applyFill="1" applyBorder="1" applyAlignment="1" applyProtection="1">
      <protection locked="0"/>
    </xf>
    <xf numFmtId="0" fontId="2" fillId="0" borderId="0" xfId="0" applyFont="1" applyFill="1" applyAlignment="1">
      <alignment horizontal="center"/>
    </xf>
    <xf numFmtId="49" fontId="2" fillId="0" borderId="3" xfId="0" applyNumberFormat="1" applyFont="1" applyFill="1" applyBorder="1" applyAlignment="1">
      <alignment horizontal="right" vertical="center"/>
    </xf>
    <xf numFmtId="0" fontId="7" fillId="0" borderId="15" xfId="0" applyFont="1" applyFill="1" applyBorder="1" applyAlignment="1"/>
    <xf numFmtId="3" fontId="1" fillId="0" borderId="4" xfId="0" applyNumberFormat="1" applyFont="1" applyFill="1" applyBorder="1" applyAlignment="1" applyProtection="1">
      <alignment horizontal="right"/>
      <protection locked="0"/>
    </xf>
    <xf numFmtId="0" fontId="15" fillId="0" borderId="0" xfId="0" applyFont="1" applyFill="1" applyProtection="1"/>
    <xf numFmtId="0" fontId="1" fillId="0" borderId="4" xfId="0" applyFont="1" applyFill="1" applyBorder="1" applyAlignment="1">
      <alignment horizontal="left" vertical="center" wrapText="1"/>
    </xf>
    <xf numFmtId="0" fontId="10" fillId="0" borderId="11" xfId="0" applyNumberFormat="1" applyFont="1" applyFill="1" applyBorder="1" applyAlignment="1" applyProtection="1">
      <alignment horizontal="left"/>
      <protection locked="0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0" fontId="2" fillId="0" borderId="0" xfId="0" applyFont="1" applyFill="1" applyAlignment="1" applyProtection="1">
      <alignment horizontal="right"/>
    </xf>
    <xf numFmtId="0" fontId="8" fillId="0" borderId="15" xfId="0" quotePrefix="1" applyFont="1" applyFill="1" applyBorder="1" applyAlignment="1">
      <alignment horizontal="center"/>
    </xf>
    <xf numFmtId="0" fontId="7" fillId="0" borderId="17" xfId="0" applyFont="1" applyFill="1" applyBorder="1" applyAlignment="1">
      <alignment horizontal="left"/>
    </xf>
    <xf numFmtId="0" fontId="7" fillId="0" borderId="18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8" fillId="0" borderId="5" xfId="0" quotePrefix="1" applyFont="1" applyFill="1" applyBorder="1" applyAlignment="1">
      <alignment horizontal="left"/>
    </xf>
    <xf numFmtId="0" fontId="8" fillId="0" borderId="8" xfId="0" quotePrefix="1" applyFont="1" applyFill="1" applyBorder="1" applyAlignment="1">
      <alignment horizontal="left"/>
    </xf>
    <xf numFmtId="0" fontId="8" fillId="0" borderId="16" xfId="0" quotePrefix="1" applyFont="1" applyFill="1" applyBorder="1" applyAlignment="1">
      <alignment horizontal="left"/>
    </xf>
    <xf numFmtId="0" fontId="8" fillId="0" borderId="9" xfId="0" quotePrefix="1" applyFont="1" applyFill="1" applyBorder="1" applyAlignment="1">
      <alignment horizontal="left"/>
    </xf>
    <xf numFmtId="0" fontId="8" fillId="0" borderId="5" xfId="0" applyFont="1" applyFill="1" applyBorder="1" applyAlignment="1">
      <alignment horizontal="left"/>
    </xf>
    <xf numFmtId="0" fontId="8" fillId="0" borderId="8" xfId="0" applyFont="1" applyFill="1" applyBorder="1" applyAlignment="1">
      <alignment horizontal="left"/>
    </xf>
    <xf numFmtId="0" fontId="8" fillId="0" borderId="6" xfId="0" quotePrefix="1" applyFont="1" applyFill="1" applyBorder="1" applyAlignment="1">
      <alignment horizontal="left"/>
    </xf>
    <xf numFmtId="0" fontId="8" fillId="0" borderId="7" xfId="0" quotePrefix="1" applyFont="1" applyFill="1" applyBorder="1" applyAlignment="1">
      <alignment horizontal="left"/>
    </xf>
    <xf numFmtId="0" fontId="8" fillId="0" borderId="3" xfId="0" quotePrefix="1" applyFont="1" applyFill="1" applyBorder="1" applyAlignment="1">
      <alignment horizontal="left"/>
    </xf>
    <xf numFmtId="0" fontId="8" fillId="0" borderId="4" xfId="0" quotePrefix="1" applyFont="1" applyFill="1" applyBorder="1" applyAlignment="1">
      <alignment horizontal="left"/>
    </xf>
    <xf numFmtId="0" fontId="8" fillId="0" borderId="16" xfId="0" applyFont="1" applyFill="1" applyBorder="1" applyAlignment="1">
      <alignment horizontal="left"/>
    </xf>
    <xf numFmtId="0" fontId="8" fillId="0" borderId="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F191"/>
  <sheetViews>
    <sheetView showGridLines="0" tabSelected="1" topLeftCell="A157" zoomScaleNormal="100" workbookViewId="0">
      <selection activeCell="D163" sqref="D163"/>
    </sheetView>
  </sheetViews>
  <sheetFormatPr defaultColWidth="8.85546875" defaultRowHeight="12.75"/>
  <cols>
    <col min="1" max="1" width="7" style="1" customWidth="1"/>
    <col min="2" max="2" width="80.42578125" style="5" customWidth="1"/>
    <col min="3" max="3" width="18.7109375" style="39" customWidth="1"/>
    <col min="4" max="4" width="20" style="39" customWidth="1"/>
    <col min="5" max="5" width="14.7109375" style="1" customWidth="1"/>
    <col min="6" max="16384" width="8.85546875" style="1"/>
  </cols>
  <sheetData>
    <row r="1" spans="1:6" s="5" customFormat="1" ht="39.75" customHeight="1">
      <c r="A1" s="93" t="s">
        <v>233</v>
      </c>
      <c r="B1" s="96" t="s">
        <v>230</v>
      </c>
      <c r="C1" s="97"/>
      <c r="D1" s="97"/>
    </row>
    <row r="2" spans="1:6" s="5" customFormat="1" ht="12.75" customHeight="1">
      <c r="C2" s="43"/>
      <c r="D2" s="4"/>
      <c r="E2" s="4"/>
    </row>
    <row r="3" spans="1:6" s="5" customFormat="1" ht="12.75" customHeight="1">
      <c r="C3" s="20"/>
      <c r="D3" s="44"/>
      <c r="E3" s="44"/>
    </row>
    <row r="4" spans="1:6" s="5" customFormat="1">
      <c r="C4" s="20"/>
    </row>
    <row r="5" spans="1:6" s="5" customFormat="1" ht="15">
      <c r="B5" s="6" t="s">
        <v>0</v>
      </c>
      <c r="C5" s="20"/>
      <c r="D5" s="45" t="s">
        <v>140</v>
      </c>
    </row>
    <row r="6" spans="1:6" s="19" customFormat="1" ht="15">
      <c r="A6" s="5"/>
      <c r="B6" s="6" t="s">
        <v>141</v>
      </c>
      <c r="C6" s="98"/>
      <c r="D6" s="98"/>
    </row>
    <row r="7" spans="1:6" s="19" customFormat="1" ht="15">
      <c r="A7" s="5"/>
      <c r="B7" s="46"/>
      <c r="C7" s="98"/>
      <c r="D7" s="98"/>
    </row>
    <row r="8" spans="1:6" s="2" customFormat="1" ht="14.25">
      <c r="A8" s="7"/>
      <c r="B8" s="8" t="s">
        <v>142</v>
      </c>
      <c r="C8" s="95"/>
      <c r="D8" s="66"/>
      <c r="E8" s="19"/>
      <c r="F8" s="19"/>
    </row>
    <row r="9" spans="1:6">
      <c r="A9" s="7"/>
      <c r="B9" s="8" t="s">
        <v>1</v>
      </c>
      <c r="C9" s="42"/>
      <c r="D9" s="35" t="s">
        <v>2</v>
      </c>
      <c r="E9" s="5"/>
      <c r="F9" s="5"/>
    </row>
    <row r="10" spans="1:6">
      <c r="A10" s="7"/>
      <c r="B10" s="8" t="s">
        <v>3</v>
      </c>
      <c r="C10" s="42"/>
      <c r="D10" s="35" t="s">
        <v>4</v>
      </c>
      <c r="E10" s="5"/>
      <c r="F10" s="5"/>
    </row>
    <row r="11" spans="1:6">
      <c r="A11" s="5"/>
      <c r="B11" s="34"/>
      <c r="C11" s="36"/>
      <c r="E11" s="5"/>
      <c r="F11" s="5"/>
    </row>
    <row r="12" spans="1:6">
      <c r="A12" s="5"/>
      <c r="B12" s="34"/>
      <c r="C12" s="36"/>
      <c r="D12" s="36"/>
      <c r="E12" s="5"/>
      <c r="F12" s="5"/>
    </row>
    <row r="13" spans="1:6">
      <c r="A13" s="5"/>
      <c r="B13" s="34"/>
      <c r="C13" s="36"/>
      <c r="D13" s="36" t="s">
        <v>5</v>
      </c>
      <c r="E13" s="5"/>
      <c r="F13" s="5"/>
    </row>
    <row r="14" spans="1:6" s="3" customFormat="1" ht="25.5">
      <c r="A14" s="9"/>
      <c r="B14" s="10" t="s">
        <v>6</v>
      </c>
      <c r="C14" s="37" t="s">
        <v>7</v>
      </c>
      <c r="D14" s="38" t="s">
        <v>8</v>
      </c>
      <c r="E14" s="20"/>
      <c r="F14" s="20"/>
    </row>
    <row r="15" spans="1:6" s="17" customFormat="1" ht="14.25">
      <c r="A15" s="91" t="s">
        <v>9</v>
      </c>
      <c r="B15" s="91"/>
      <c r="C15" s="91"/>
      <c r="D15" s="91"/>
    </row>
    <row r="16" spans="1:6" s="17" customFormat="1">
      <c r="A16" s="21">
        <v>1.1000000000000001</v>
      </c>
      <c r="B16" s="22" t="s">
        <v>143</v>
      </c>
      <c r="C16" s="67">
        <f>SUM(C17:C18)</f>
        <v>0</v>
      </c>
      <c r="D16" s="68">
        <f>SUM(D17:D18)</f>
        <v>0</v>
      </c>
    </row>
    <row r="17" spans="1:4" s="17" customFormat="1">
      <c r="A17" s="11" t="s">
        <v>10</v>
      </c>
      <c r="B17" s="23" t="s">
        <v>99</v>
      </c>
      <c r="C17" s="47"/>
      <c r="D17" s="56"/>
    </row>
    <row r="18" spans="1:4" s="17" customFormat="1">
      <c r="A18" s="11" t="s">
        <v>12</v>
      </c>
      <c r="B18" s="23" t="s">
        <v>100</v>
      </c>
      <c r="C18" s="47"/>
      <c r="D18" s="56"/>
    </row>
    <row r="19" spans="1:4" s="17" customFormat="1" ht="25.5">
      <c r="A19" s="24">
        <v>1.2</v>
      </c>
      <c r="B19" s="25" t="s">
        <v>137</v>
      </c>
      <c r="C19" s="50">
        <f>SUM(C20:C22)</f>
        <v>0</v>
      </c>
      <c r="D19" s="69">
        <f>SUM(D20:D22)</f>
        <v>0</v>
      </c>
    </row>
    <row r="20" spans="1:4" s="17" customFormat="1">
      <c r="A20" s="13" t="s">
        <v>13</v>
      </c>
      <c r="B20" s="25" t="s">
        <v>11</v>
      </c>
      <c r="C20" s="47"/>
      <c r="D20" s="56"/>
    </row>
    <row r="21" spans="1:4" s="17" customFormat="1">
      <c r="A21" s="13" t="s">
        <v>14</v>
      </c>
      <c r="B21" s="25" t="s">
        <v>18</v>
      </c>
      <c r="C21" s="47"/>
      <c r="D21" s="56"/>
    </row>
    <row r="22" spans="1:4" s="17" customFormat="1">
      <c r="A22" s="13" t="s">
        <v>15</v>
      </c>
      <c r="B22" s="23" t="s">
        <v>20</v>
      </c>
      <c r="C22" s="47"/>
      <c r="D22" s="56"/>
    </row>
    <row r="23" spans="1:4" s="17" customFormat="1">
      <c r="A23" s="24">
        <v>1.3</v>
      </c>
      <c r="B23" s="23" t="s">
        <v>21</v>
      </c>
      <c r="C23" s="50">
        <f>SUM(C24:C26)</f>
        <v>0</v>
      </c>
      <c r="D23" s="57">
        <f>SUM(D24:D26)</f>
        <v>0</v>
      </c>
    </row>
    <row r="24" spans="1:4" s="17" customFormat="1">
      <c r="A24" s="13" t="s">
        <v>16</v>
      </c>
      <c r="B24" s="25" t="s">
        <v>101</v>
      </c>
      <c r="C24" s="47"/>
      <c r="D24" s="56"/>
    </row>
    <row r="25" spans="1:4" s="17" customFormat="1">
      <c r="A25" s="13" t="s">
        <v>17</v>
      </c>
      <c r="B25" s="12" t="s">
        <v>144</v>
      </c>
      <c r="C25" s="47"/>
      <c r="D25" s="56"/>
    </row>
    <row r="26" spans="1:4" s="17" customFormat="1">
      <c r="A26" s="13" t="s">
        <v>19</v>
      </c>
      <c r="B26" s="63" t="s">
        <v>145</v>
      </c>
      <c r="C26" s="47"/>
      <c r="D26" s="56"/>
    </row>
    <row r="27" spans="1:4" s="17" customFormat="1">
      <c r="A27" s="24">
        <v>1.4</v>
      </c>
      <c r="B27" s="49" t="s">
        <v>146</v>
      </c>
      <c r="C27" s="47"/>
      <c r="D27" s="56"/>
    </row>
    <row r="28" spans="1:4" s="17" customFormat="1">
      <c r="A28" s="24">
        <v>1.5</v>
      </c>
      <c r="B28" s="23" t="s">
        <v>26</v>
      </c>
      <c r="C28" s="50">
        <f>SUM(C29:C32)</f>
        <v>0</v>
      </c>
      <c r="D28" s="57">
        <f>SUM(D29:D32)</f>
        <v>0</v>
      </c>
    </row>
    <row r="29" spans="1:4" s="17" customFormat="1">
      <c r="A29" s="13" t="s">
        <v>22</v>
      </c>
      <c r="B29" s="25" t="s">
        <v>101</v>
      </c>
      <c r="C29" s="47"/>
      <c r="D29" s="56"/>
    </row>
    <row r="30" spans="1:4" s="17" customFormat="1">
      <c r="A30" s="13" t="s">
        <v>23</v>
      </c>
      <c r="B30" s="25" t="s">
        <v>144</v>
      </c>
      <c r="C30" s="47"/>
      <c r="D30" s="56"/>
    </row>
    <row r="31" spans="1:4" s="17" customFormat="1">
      <c r="A31" s="13" t="s">
        <v>24</v>
      </c>
      <c r="B31" s="25" t="s">
        <v>135</v>
      </c>
      <c r="C31" s="47"/>
      <c r="D31" s="56"/>
    </row>
    <row r="32" spans="1:4" s="17" customFormat="1">
      <c r="A32" s="13" t="s">
        <v>25</v>
      </c>
      <c r="B32" s="25" t="s">
        <v>147</v>
      </c>
      <c r="C32" s="47"/>
      <c r="D32" s="56"/>
    </row>
    <row r="33" spans="1:4" s="17" customFormat="1">
      <c r="A33" s="24">
        <v>1.6</v>
      </c>
      <c r="B33" s="23" t="s">
        <v>102</v>
      </c>
      <c r="C33" s="47"/>
      <c r="D33" s="56"/>
    </row>
    <row r="34" spans="1:4" s="17" customFormat="1" ht="25.5">
      <c r="A34" s="24">
        <v>1.7</v>
      </c>
      <c r="B34" s="23" t="s">
        <v>148</v>
      </c>
      <c r="C34" s="50">
        <f>SUM(C35:C36)</f>
        <v>0</v>
      </c>
      <c r="D34" s="57">
        <f>SUM(D35:D36)</f>
        <v>0</v>
      </c>
    </row>
    <row r="35" spans="1:4" s="17" customFormat="1">
      <c r="A35" s="13" t="s">
        <v>30</v>
      </c>
      <c r="B35" s="25" t="s">
        <v>27</v>
      </c>
      <c r="C35" s="47"/>
      <c r="D35" s="56"/>
    </row>
    <row r="36" spans="1:4" s="17" customFormat="1">
      <c r="A36" s="13" t="s">
        <v>31</v>
      </c>
      <c r="B36" s="25" t="s">
        <v>28</v>
      </c>
      <c r="C36" s="47"/>
      <c r="D36" s="56"/>
    </row>
    <row r="37" spans="1:4" s="17" customFormat="1">
      <c r="A37" s="24">
        <v>1.8</v>
      </c>
      <c r="B37" s="25" t="s">
        <v>29</v>
      </c>
      <c r="C37" s="50">
        <f>SUM(C38:C39)</f>
        <v>0</v>
      </c>
      <c r="D37" s="57">
        <f>SUM(D38:D39)</f>
        <v>0</v>
      </c>
    </row>
    <row r="38" spans="1:4" s="17" customFormat="1">
      <c r="A38" s="31" t="s">
        <v>149</v>
      </c>
      <c r="B38" s="25" t="s">
        <v>27</v>
      </c>
      <c r="C38" s="47"/>
      <c r="D38" s="56"/>
    </row>
    <row r="39" spans="1:4" s="17" customFormat="1">
      <c r="A39" s="31" t="s">
        <v>150</v>
      </c>
      <c r="B39" s="25" t="s">
        <v>28</v>
      </c>
      <c r="C39" s="47"/>
      <c r="D39" s="56"/>
    </row>
    <row r="40" spans="1:4" s="17" customFormat="1">
      <c r="A40" s="26">
        <v>1.9</v>
      </c>
      <c r="B40" s="25" t="s">
        <v>151</v>
      </c>
      <c r="C40" s="50">
        <f>SUM(C41:C42)</f>
        <v>0</v>
      </c>
      <c r="D40" s="57">
        <f>SUM(D41:D42)</f>
        <v>0</v>
      </c>
    </row>
    <row r="41" spans="1:4" s="17" customFormat="1">
      <c r="A41" s="13" t="s">
        <v>32</v>
      </c>
      <c r="B41" s="25" t="s">
        <v>27</v>
      </c>
      <c r="C41" s="47"/>
      <c r="D41" s="56"/>
    </row>
    <row r="42" spans="1:4" s="17" customFormat="1">
      <c r="A42" s="13" t="s">
        <v>33</v>
      </c>
      <c r="B42" s="25" t="s">
        <v>28</v>
      </c>
      <c r="C42" s="47"/>
      <c r="D42" s="56"/>
    </row>
    <row r="43" spans="1:4" s="17" customFormat="1" ht="25.5">
      <c r="A43" s="30">
        <v>1.1000000000000001</v>
      </c>
      <c r="B43" s="25" t="s">
        <v>152</v>
      </c>
      <c r="C43" s="50">
        <f>SUM(C44:C45)</f>
        <v>0</v>
      </c>
      <c r="D43" s="57">
        <f>SUM(D44:D45)</f>
        <v>0</v>
      </c>
    </row>
    <row r="44" spans="1:4" s="17" customFormat="1">
      <c r="A44" s="13" t="s">
        <v>34</v>
      </c>
      <c r="B44" s="25" t="s">
        <v>27</v>
      </c>
      <c r="C44" s="47"/>
      <c r="D44" s="56"/>
    </row>
    <row r="45" spans="1:4" s="17" customFormat="1">
      <c r="A45" s="13" t="s">
        <v>35</v>
      </c>
      <c r="B45" s="25" t="s">
        <v>28</v>
      </c>
      <c r="C45" s="47"/>
      <c r="D45" s="56"/>
    </row>
    <row r="46" spans="1:4" s="17" customFormat="1">
      <c r="A46" s="26">
        <v>1.1100000000000001</v>
      </c>
      <c r="B46" s="25" t="s">
        <v>105</v>
      </c>
      <c r="C46" s="50">
        <f>SUM(C47:C48)</f>
        <v>0</v>
      </c>
      <c r="D46" s="57">
        <f>SUM(D47:D48)</f>
        <v>0</v>
      </c>
    </row>
    <row r="47" spans="1:4" s="17" customFormat="1">
      <c r="A47" s="13" t="s">
        <v>36</v>
      </c>
      <c r="B47" s="25" t="s">
        <v>27</v>
      </c>
      <c r="C47" s="47"/>
      <c r="D47" s="56"/>
    </row>
    <row r="48" spans="1:4" s="17" customFormat="1">
      <c r="A48" s="13" t="s">
        <v>37</v>
      </c>
      <c r="B48" s="25" t="s">
        <v>28</v>
      </c>
      <c r="C48" s="47"/>
      <c r="D48" s="56"/>
    </row>
    <row r="49" spans="1:4" s="17" customFormat="1">
      <c r="A49" s="26">
        <v>1.1200000000000001</v>
      </c>
      <c r="B49" s="23" t="s">
        <v>153</v>
      </c>
      <c r="C49" s="50">
        <f>SUM(C50:C51)</f>
        <v>0</v>
      </c>
      <c r="D49" s="57">
        <f>SUM(D50:D51)</f>
        <v>0</v>
      </c>
    </row>
    <row r="50" spans="1:4" s="17" customFormat="1">
      <c r="A50" s="13" t="s">
        <v>103</v>
      </c>
      <c r="B50" s="25" t="s">
        <v>27</v>
      </c>
      <c r="C50" s="47"/>
      <c r="D50" s="56"/>
    </row>
    <row r="51" spans="1:4" s="17" customFormat="1">
      <c r="A51" s="13" t="s">
        <v>104</v>
      </c>
      <c r="B51" s="25" t="s">
        <v>28</v>
      </c>
      <c r="C51" s="47"/>
      <c r="D51" s="56"/>
    </row>
    <row r="52" spans="1:4" s="17" customFormat="1">
      <c r="A52" s="26">
        <v>1.1299999999999999</v>
      </c>
      <c r="B52" s="23" t="s">
        <v>38</v>
      </c>
      <c r="C52" s="50">
        <f>SUM(C53:C54)</f>
        <v>0</v>
      </c>
      <c r="D52" s="57">
        <f>SUM(D53:D54)</f>
        <v>0</v>
      </c>
    </row>
    <row r="53" spans="1:4" s="17" customFormat="1">
      <c r="A53" s="64" t="s">
        <v>106</v>
      </c>
      <c r="B53" s="23" t="s">
        <v>27</v>
      </c>
      <c r="C53" s="47"/>
      <c r="D53" s="56"/>
    </row>
    <row r="54" spans="1:4" s="17" customFormat="1">
      <c r="A54" s="64" t="s">
        <v>107</v>
      </c>
      <c r="B54" s="23" t="s">
        <v>28</v>
      </c>
      <c r="C54" s="47"/>
      <c r="D54" s="56"/>
    </row>
    <row r="55" spans="1:4" s="89" customFormat="1">
      <c r="A55" s="27" t="s">
        <v>39</v>
      </c>
      <c r="B55" s="28"/>
      <c r="C55" s="70">
        <f>SUM(C16,C19,C23,C27,C28,C33,C34,C37,C40,C43,C46,C49,C52)</f>
        <v>0</v>
      </c>
      <c r="D55" s="71">
        <f>SUM(D16,D19,D23,D27,D28,D33,D34,D37,D40,D43,D46,D49,D52)</f>
        <v>0</v>
      </c>
    </row>
    <row r="56" spans="1:4" s="89" customFormat="1" ht="14.25">
      <c r="A56" s="91" t="s">
        <v>40</v>
      </c>
      <c r="B56" s="91"/>
      <c r="C56" s="91"/>
      <c r="D56" s="91"/>
    </row>
    <row r="57" spans="1:4" s="17" customFormat="1">
      <c r="A57" s="21">
        <v>2.1</v>
      </c>
      <c r="B57" s="58" t="s">
        <v>154</v>
      </c>
      <c r="C57" s="67">
        <f>SUM(C58:C63)</f>
        <v>0</v>
      </c>
      <c r="D57" s="72">
        <f>SUM(D58:D63)</f>
        <v>0</v>
      </c>
    </row>
    <row r="58" spans="1:4" s="17" customFormat="1">
      <c r="A58" s="13" t="s">
        <v>41</v>
      </c>
      <c r="B58" s="25" t="s">
        <v>155</v>
      </c>
      <c r="C58" s="47"/>
      <c r="D58" s="56"/>
    </row>
    <row r="59" spans="1:4" s="17" customFormat="1">
      <c r="A59" s="13" t="s">
        <v>42</v>
      </c>
      <c r="B59" s="25" t="s">
        <v>222</v>
      </c>
      <c r="C59" s="47"/>
      <c r="D59" s="56"/>
    </row>
    <row r="60" spans="1:4" s="17" customFormat="1">
      <c r="A60" s="13" t="s">
        <v>156</v>
      </c>
      <c r="B60" s="23" t="s">
        <v>157</v>
      </c>
      <c r="C60" s="47"/>
      <c r="D60" s="56"/>
    </row>
    <row r="61" spans="1:4" s="17" customFormat="1">
      <c r="A61" s="13" t="s">
        <v>158</v>
      </c>
      <c r="B61" s="25" t="s">
        <v>159</v>
      </c>
      <c r="C61" s="47"/>
      <c r="D61" s="56"/>
    </row>
    <row r="62" spans="1:4" s="17" customFormat="1">
      <c r="A62" s="14" t="s">
        <v>160</v>
      </c>
      <c r="B62" s="25" t="s">
        <v>224</v>
      </c>
      <c r="C62" s="47"/>
      <c r="D62" s="56"/>
    </row>
    <row r="63" spans="1:4" s="17" customFormat="1">
      <c r="A63" s="90" t="s">
        <v>223</v>
      </c>
      <c r="B63" s="25" t="s">
        <v>161</v>
      </c>
      <c r="C63" s="47"/>
      <c r="D63" s="56"/>
    </row>
    <row r="64" spans="1:4" s="17" customFormat="1">
      <c r="A64" s="24">
        <v>2.2000000000000002</v>
      </c>
      <c r="B64" s="25" t="s">
        <v>162</v>
      </c>
      <c r="C64" s="50">
        <f>SUM(C65:C66)</f>
        <v>0</v>
      </c>
      <c r="D64" s="57">
        <f>SUM(D65:D66)</f>
        <v>0</v>
      </c>
    </row>
    <row r="65" spans="1:4" s="17" customFormat="1">
      <c r="A65" s="13" t="s">
        <v>43</v>
      </c>
      <c r="B65" s="23" t="s">
        <v>27</v>
      </c>
      <c r="C65" s="47"/>
      <c r="D65" s="56"/>
    </row>
    <row r="66" spans="1:4" s="17" customFormat="1">
      <c r="A66" s="13" t="s">
        <v>44</v>
      </c>
      <c r="B66" s="23" t="s">
        <v>28</v>
      </c>
      <c r="C66" s="47"/>
      <c r="D66" s="56"/>
    </row>
    <row r="67" spans="1:4" s="17" customFormat="1" ht="25.5">
      <c r="A67" s="24">
        <v>2.2999999999999998</v>
      </c>
      <c r="B67" s="25" t="s">
        <v>138</v>
      </c>
      <c r="C67" s="50">
        <f>SUM(C68:C70)</f>
        <v>0</v>
      </c>
      <c r="D67" s="57">
        <f>SUM(D68:D70)</f>
        <v>0</v>
      </c>
    </row>
    <row r="68" spans="1:4" s="17" customFormat="1">
      <c r="A68" s="13" t="s">
        <v>108</v>
      </c>
      <c r="B68" s="25" t="s">
        <v>11</v>
      </c>
      <c r="C68" s="47"/>
      <c r="D68" s="56"/>
    </row>
    <row r="69" spans="1:4" s="17" customFormat="1">
      <c r="A69" s="13" t="s">
        <v>163</v>
      </c>
      <c r="B69" s="25" t="s">
        <v>164</v>
      </c>
      <c r="C69" s="47"/>
      <c r="D69" s="56"/>
    </row>
    <row r="70" spans="1:4" s="17" customFormat="1">
      <c r="A70" s="13" t="s">
        <v>165</v>
      </c>
      <c r="B70" s="23" t="s">
        <v>20</v>
      </c>
      <c r="C70" s="47"/>
      <c r="D70" s="56"/>
    </row>
    <row r="71" spans="1:4" s="17" customFormat="1">
      <c r="A71" s="24">
        <v>2.4</v>
      </c>
      <c r="B71" s="23" t="s">
        <v>166</v>
      </c>
      <c r="C71" s="50">
        <f>SUM(C72:C77)</f>
        <v>0</v>
      </c>
      <c r="D71" s="57">
        <f>SUM(D72:D77)</f>
        <v>0</v>
      </c>
    </row>
    <row r="72" spans="1:4" s="17" customFormat="1">
      <c r="A72" s="13" t="s">
        <v>45</v>
      </c>
      <c r="B72" s="25" t="s">
        <v>167</v>
      </c>
      <c r="C72" s="47"/>
      <c r="D72" s="56"/>
    </row>
    <row r="73" spans="1:4" s="17" customFormat="1">
      <c r="A73" s="13" t="s">
        <v>46</v>
      </c>
      <c r="B73" s="25" t="s">
        <v>222</v>
      </c>
      <c r="C73" s="47"/>
      <c r="D73" s="56"/>
    </row>
    <row r="74" spans="1:4" s="17" customFormat="1">
      <c r="A74" s="13" t="s">
        <v>168</v>
      </c>
      <c r="B74" s="23" t="s">
        <v>157</v>
      </c>
      <c r="C74" s="47"/>
      <c r="D74" s="56"/>
    </row>
    <row r="75" spans="1:4" s="17" customFormat="1">
      <c r="A75" s="13" t="s">
        <v>169</v>
      </c>
      <c r="B75" s="25" t="s">
        <v>170</v>
      </c>
      <c r="C75" s="47"/>
      <c r="D75" s="56"/>
    </row>
    <row r="76" spans="1:4" s="17" customFormat="1">
      <c r="A76" s="13" t="s">
        <v>171</v>
      </c>
      <c r="B76" s="25" t="s">
        <v>225</v>
      </c>
      <c r="C76" s="47"/>
      <c r="D76" s="56"/>
    </row>
    <row r="77" spans="1:4" s="17" customFormat="1">
      <c r="A77" s="13" t="s">
        <v>226</v>
      </c>
      <c r="B77" s="25" t="s">
        <v>227</v>
      </c>
      <c r="C77" s="47"/>
      <c r="D77" s="56"/>
    </row>
    <row r="78" spans="1:4" s="17" customFormat="1" ht="25.5">
      <c r="A78" s="24">
        <v>2.5</v>
      </c>
      <c r="B78" s="23" t="s">
        <v>228</v>
      </c>
      <c r="C78" s="50">
        <f>SUM(C79:C82)</f>
        <v>0</v>
      </c>
      <c r="D78" s="57">
        <f>SUM(D79:D82)</f>
        <v>0</v>
      </c>
    </row>
    <row r="79" spans="1:4" s="17" customFormat="1">
      <c r="A79" s="31" t="s">
        <v>47</v>
      </c>
      <c r="B79" s="23" t="s">
        <v>111</v>
      </c>
      <c r="C79" s="47"/>
      <c r="D79" s="56"/>
    </row>
    <row r="80" spans="1:4" s="17" customFormat="1">
      <c r="A80" s="31" t="s">
        <v>48</v>
      </c>
      <c r="B80" s="23" t="s">
        <v>172</v>
      </c>
      <c r="C80" s="47"/>
      <c r="D80" s="56"/>
    </row>
    <row r="81" spans="1:4" s="17" customFormat="1">
      <c r="A81" s="31" t="s">
        <v>49</v>
      </c>
      <c r="B81" s="23" t="s">
        <v>173</v>
      </c>
      <c r="C81" s="47"/>
      <c r="D81" s="56"/>
    </row>
    <row r="82" spans="1:4" s="17" customFormat="1">
      <c r="A82" s="31" t="s">
        <v>174</v>
      </c>
      <c r="B82" s="23" t="s">
        <v>175</v>
      </c>
      <c r="C82" s="47"/>
      <c r="D82" s="56"/>
    </row>
    <row r="83" spans="1:4" s="17" customFormat="1" ht="25.5">
      <c r="A83" s="24">
        <v>2.6</v>
      </c>
      <c r="B83" s="25" t="s">
        <v>50</v>
      </c>
      <c r="C83" s="47"/>
      <c r="D83" s="56"/>
    </row>
    <row r="84" spans="1:4" s="17" customFormat="1">
      <c r="A84" s="24">
        <v>2.7</v>
      </c>
      <c r="B84" s="94" t="s">
        <v>231</v>
      </c>
      <c r="C84" s="50">
        <f>SUM(C85:C86)</f>
        <v>0</v>
      </c>
      <c r="D84" s="57">
        <f>SUM(D85:D86)</f>
        <v>0</v>
      </c>
    </row>
    <row r="85" spans="1:4" s="17" customFormat="1">
      <c r="A85" s="65" t="s">
        <v>109</v>
      </c>
      <c r="B85" s="23" t="s">
        <v>176</v>
      </c>
      <c r="C85" s="47"/>
      <c r="D85" s="56"/>
    </row>
    <row r="86" spans="1:4" s="17" customFormat="1">
      <c r="A86" s="65" t="s">
        <v>110</v>
      </c>
      <c r="B86" s="23" t="s">
        <v>177</v>
      </c>
      <c r="C86" s="47"/>
      <c r="D86" s="56"/>
    </row>
    <row r="87" spans="1:4" s="17" customFormat="1">
      <c r="A87" s="51">
        <v>2.8</v>
      </c>
      <c r="B87" s="23" t="s">
        <v>178</v>
      </c>
      <c r="C87" s="47"/>
      <c r="D87" s="56"/>
    </row>
    <row r="88" spans="1:4" s="17" customFormat="1">
      <c r="A88" s="24">
        <v>2.9</v>
      </c>
      <c r="B88" s="23" t="s">
        <v>179</v>
      </c>
      <c r="C88" s="50">
        <f>SUM(C89:C90)</f>
        <v>0</v>
      </c>
      <c r="D88" s="57">
        <f>SUM(D89:D90)</f>
        <v>0</v>
      </c>
    </row>
    <row r="89" spans="1:4" s="17" customFormat="1">
      <c r="A89" s="13" t="s">
        <v>112</v>
      </c>
      <c r="B89" s="25" t="s">
        <v>27</v>
      </c>
      <c r="C89" s="47"/>
      <c r="D89" s="56"/>
    </row>
    <row r="90" spans="1:4" s="17" customFormat="1">
      <c r="A90" s="13" t="s">
        <v>113</v>
      </c>
      <c r="B90" s="25" t="s">
        <v>28</v>
      </c>
      <c r="C90" s="47"/>
      <c r="D90" s="56"/>
    </row>
    <row r="91" spans="1:4" s="17" customFormat="1">
      <c r="A91" s="30">
        <v>2.11</v>
      </c>
      <c r="B91" s="23" t="s">
        <v>51</v>
      </c>
      <c r="C91" s="50">
        <f>SUM(C92:C93)</f>
        <v>0</v>
      </c>
      <c r="D91" s="57">
        <f>SUM(D92:D93)</f>
        <v>0</v>
      </c>
    </row>
    <row r="92" spans="1:4" s="17" customFormat="1">
      <c r="A92" s="52" t="s">
        <v>180</v>
      </c>
      <c r="B92" s="23" t="s">
        <v>27</v>
      </c>
      <c r="C92" s="92"/>
      <c r="D92" s="56"/>
    </row>
    <row r="93" spans="1:4" s="17" customFormat="1">
      <c r="A93" s="52" t="s">
        <v>114</v>
      </c>
      <c r="B93" s="23" t="s">
        <v>28</v>
      </c>
      <c r="C93" s="92"/>
      <c r="D93" s="56"/>
    </row>
    <row r="94" spans="1:4" s="17" customFormat="1">
      <c r="A94" s="107" t="s">
        <v>52</v>
      </c>
      <c r="B94" s="108"/>
      <c r="C94" s="70">
        <f>SUM(C57,C64,C67,C71,C78,C83,C84,C87,C88,C91)</f>
        <v>0</v>
      </c>
      <c r="D94" s="73">
        <f>SUM(D57,D64,D67,D71,D78,D83,D84,D87,D88,D91)</f>
        <v>0</v>
      </c>
    </row>
    <row r="95" spans="1:4" s="17" customFormat="1">
      <c r="A95" s="113" t="s">
        <v>53</v>
      </c>
      <c r="B95" s="114"/>
      <c r="C95" s="74">
        <f>C55-C94</f>
        <v>0</v>
      </c>
      <c r="D95" s="75">
        <f>D55-D94</f>
        <v>0</v>
      </c>
    </row>
    <row r="96" spans="1:4" s="17" customFormat="1" ht="14.25">
      <c r="A96" s="91" t="s">
        <v>54</v>
      </c>
      <c r="B96" s="91"/>
      <c r="C96" s="91"/>
      <c r="D96" s="91"/>
    </row>
    <row r="97" spans="1:4" s="17" customFormat="1">
      <c r="A97" s="21">
        <v>3.1</v>
      </c>
      <c r="B97" s="22" t="s">
        <v>115</v>
      </c>
      <c r="C97" s="67">
        <f>SUM(C98:C99)</f>
        <v>0</v>
      </c>
      <c r="D97" s="76">
        <f>SUM(D98:D99)</f>
        <v>0</v>
      </c>
    </row>
    <row r="98" spans="1:4" s="17" customFormat="1">
      <c r="A98" s="24" t="s">
        <v>116</v>
      </c>
      <c r="B98" s="23" t="s">
        <v>27</v>
      </c>
      <c r="C98" s="54"/>
      <c r="D98" s="86"/>
    </row>
    <row r="99" spans="1:4" s="17" customFormat="1">
      <c r="A99" s="24" t="s">
        <v>117</v>
      </c>
      <c r="B99" s="23" t="s">
        <v>28</v>
      </c>
      <c r="C99" s="87"/>
      <c r="D99" s="56"/>
    </row>
    <row r="100" spans="1:4" s="17" customFormat="1" ht="25.5">
      <c r="A100" s="24">
        <v>3.2</v>
      </c>
      <c r="B100" s="23" t="s">
        <v>181</v>
      </c>
      <c r="C100" s="50">
        <f>SUM(C101:C102)</f>
        <v>0</v>
      </c>
      <c r="D100" s="57">
        <f>SUM(D101:D102)</f>
        <v>0</v>
      </c>
    </row>
    <row r="101" spans="1:4" s="17" customFormat="1">
      <c r="A101" s="24" t="s">
        <v>118</v>
      </c>
      <c r="B101" s="23" t="s">
        <v>27</v>
      </c>
      <c r="C101" s="47"/>
      <c r="D101" s="56"/>
    </row>
    <row r="102" spans="1:4" s="17" customFormat="1">
      <c r="A102" s="24" t="s">
        <v>119</v>
      </c>
      <c r="B102" s="23" t="s">
        <v>28</v>
      </c>
      <c r="C102" s="47"/>
      <c r="D102" s="56"/>
    </row>
    <row r="103" spans="1:4" s="17" customFormat="1">
      <c r="A103" s="26">
        <v>3.3</v>
      </c>
      <c r="B103" s="23" t="s">
        <v>182</v>
      </c>
      <c r="C103" s="50">
        <f>SUM(C104:C105)</f>
        <v>0</v>
      </c>
      <c r="D103" s="57">
        <f>SUM(D104:D105)</f>
        <v>0</v>
      </c>
    </row>
    <row r="104" spans="1:4" s="17" customFormat="1">
      <c r="A104" s="13" t="s">
        <v>183</v>
      </c>
      <c r="B104" s="25" t="s">
        <v>27</v>
      </c>
      <c r="C104" s="47"/>
      <c r="D104" s="56"/>
    </row>
    <row r="105" spans="1:4" s="17" customFormat="1" ht="14.25" customHeight="1">
      <c r="A105" s="13" t="s">
        <v>184</v>
      </c>
      <c r="B105" s="25" t="s">
        <v>28</v>
      </c>
      <c r="C105" s="47"/>
      <c r="D105" s="56"/>
    </row>
    <row r="106" spans="1:4" s="17" customFormat="1">
      <c r="A106" s="15">
        <v>3.4</v>
      </c>
      <c r="B106" s="25" t="s">
        <v>57</v>
      </c>
      <c r="C106" s="50">
        <f>SUM(C107:C108)</f>
        <v>0</v>
      </c>
      <c r="D106" s="57">
        <f>SUM(D107:D108)</f>
        <v>0</v>
      </c>
    </row>
    <row r="107" spans="1:4" s="17" customFormat="1">
      <c r="A107" s="13" t="s">
        <v>55</v>
      </c>
      <c r="B107" s="23" t="s">
        <v>27</v>
      </c>
      <c r="C107" s="47"/>
      <c r="D107" s="56"/>
    </row>
    <row r="108" spans="1:4" s="17" customFormat="1">
      <c r="A108" s="13" t="s">
        <v>56</v>
      </c>
      <c r="B108" s="25" t="s">
        <v>28</v>
      </c>
      <c r="C108" s="47"/>
      <c r="D108" s="56"/>
    </row>
    <row r="109" spans="1:4" s="17" customFormat="1">
      <c r="A109" s="24">
        <v>3.5</v>
      </c>
      <c r="B109" s="23" t="s">
        <v>120</v>
      </c>
      <c r="C109" s="50">
        <f>SUM(C110:C114)</f>
        <v>0</v>
      </c>
      <c r="D109" s="57">
        <f>SUM(D110:D114)</f>
        <v>0</v>
      </c>
    </row>
    <row r="110" spans="1:4" s="17" customFormat="1">
      <c r="A110" s="31" t="s">
        <v>58</v>
      </c>
      <c r="B110" s="23" t="s">
        <v>121</v>
      </c>
      <c r="C110" s="47"/>
      <c r="D110" s="56"/>
    </row>
    <row r="111" spans="1:4" s="17" customFormat="1">
      <c r="A111" s="31" t="s">
        <v>59</v>
      </c>
      <c r="B111" s="23" t="s">
        <v>185</v>
      </c>
      <c r="C111" s="47"/>
      <c r="D111" s="56"/>
    </row>
    <row r="112" spans="1:4" s="17" customFormat="1">
      <c r="A112" s="31" t="s">
        <v>186</v>
      </c>
      <c r="B112" s="23" t="s">
        <v>122</v>
      </c>
      <c r="C112" s="47"/>
      <c r="D112" s="56"/>
    </row>
    <row r="113" spans="1:4" s="17" customFormat="1" ht="25.5">
      <c r="A113" s="31" t="s">
        <v>187</v>
      </c>
      <c r="B113" s="23" t="s">
        <v>188</v>
      </c>
      <c r="C113" s="47"/>
      <c r="D113" s="56"/>
    </row>
    <row r="114" spans="1:4" s="17" customFormat="1">
      <c r="A114" s="31" t="s">
        <v>189</v>
      </c>
      <c r="B114" s="23" t="s">
        <v>123</v>
      </c>
      <c r="C114" s="47"/>
      <c r="D114" s="56"/>
    </row>
    <row r="115" spans="1:4" s="17" customFormat="1">
      <c r="A115" s="24">
        <v>3.6</v>
      </c>
      <c r="B115" s="23" t="s">
        <v>60</v>
      </c>
      <c r="C115" s="50">
        <f>SUM(C116:C119)</f>
        <v>0</v>
      </c>
      <c r="D115" s="57">
        <f>SUM(D116:D119)</f>
        <v>0</v>
      </c>
    </row>
    <row r="116" spans="1:4" s="17" customFormat="1">
      <c r="A116" s="24" t="s">
        <v>190</v>
      </c>
      <c r="B116" s="23" t="s">
        <v>191</v>
      </c>
      <c r="C116" s="47"/>
      <c r="D116" s="56"/>
    </row>
    <row r="117" spans="1:4" s="17" customFormat="1">
      <c r="A117" s="24" t="s">
        <v>192</v>
      </c>
      <c r="B117" s="23" t="s">
        <v>193</v>
      </c>
      <c r="C117" s="47"/>
      <c r="D117" s="56"/>
    </row>
    <row r="118" spans="1:4" s="17" customFormat="1">
      <c r="A118" s="24" t="s">
        <v>194</v>
      </c>
      <c r="B118" s="23" t="s">
        <v>195</v>
      </c>
      <c r="C118" s="47"/>
      <c r="D118" s="56"/>
    </row>
    <row r="119" spans="1:4" s="17" customFormat="1">
      <c r="A119" s="24" t="s">
        <v>196</v>
      </c>
      <c r="B119" s="23" t="s">
        <v>197</v>
      </c>
      <c r="C119" s="47"/>
      <c r="D119" s="56"/>
    </row>
    <row r="120" spans="1:4" s="17" customFormat="1">
      <c r="A120" s="24">
        <v>3.7</v>
      </c>
      <c r="B120" s="25" t="s">
        <v>198</v>
      </c>
      <c r="C120" s="50">
        <f>SUM(C121:C122)</f>
        <v>0</v>
      </c>
      <c r="D120" s="57">
        <f>SUM(D121:D122)</f>
        <v>0</v>
      </c>
    </row>
    <row r="121" spans="1:4" s="17" customFormat="1">
      <c r="A121" s="31" t="s">
        <v>199</v>
      </c>
      <c r="B121" s="23" t="s">
        <v>200</v>
      </c>
      <c r="C121" s="47"/>
      <c r="D121" s="56"/>
    </row>
    <row r="122" spans="1:4" s="17" customFormat="1">
      <c r="A122" s="31" t="s">
        <v>201</v>
      </c>
      <c r="B122" s="23" t="s">
        <v>202</v>
      </c>
      <c r="C122" s="47"/>
      <c r="D122" s="56"/>
    </row>
    <row r="123" spans="1:4" s="17" customFormat="1">
      <c r="A123" s="24">
        <v>3.8</v>
      </c>
      <c r="B123" s="23" t="s">
        <v>61</v>
      </c>
      <c r="C123" s="47"/>
      <c r="D123" s="56"/>
    </row>
    <row r="124" spans="1:4" s="17" customFormat="1">
      <c r="A124" s="26" t="s">
        <v>203</v>
      </c>
      <c r="B124" s="23" t="s">
        <v>62</v>
      </c>
      <c r="C124" s="47"/>
      <c r="D124" s="56"/>
    </row>
    <row r="125" spans="1:4" s="17" customFormat="1">
      <c r="A125" s="26" t="s">
        <v>63</v>
      </c>
      <c r="B125" s="23" t="s">
        <v>64</v>
      </c>
      <c r="C125" s="47"/>
      <c r="D125" s="56"/>
    </row>
    <row r="126" spans="1:4" s="17" customFormat="1">
      <c r="A126" s="24">
        <v>3.11</v>
      </c>
      <c r="B126" s="23" t="s">
        <v>124</v>
      </c>
      <c r="C126" s="47"/>
      <c r="D126" s="56"/>
    </row>
    <row r="127" spans="1:4" s="17" customFormat="1">
      <c r="A127" s="24">
        <v>3.12</v>
      </c>
      <c r="B127" s="23" t="s">
        <v>204</v>
      </c>
      <c r="C127" s="47"/>
      <c r="D127" s="56"/>
    </row>
    <row r="128" spans="1:4" s="17" customFormat="1">
      <c r="A128" s="24">
        <v>3.13</v>
      </c>
      <c r="B128" s="23" t="s">
        <v>205</v>
      </c>
      <c r="C128" s="47"/>
      <c r="D128" s="56"/>
    </row>
    <row r="129" spans="1:4" s="17" customFormat="1" ht="38.25">
      <c r="A129" s="26">
        <v>3.14</v>
      </c>
      <c r="B129" s="94" t="s">
        <v>232</v>
      </c>
      <c r="C129" s="50">
        <f>SUM(C130:C131)</f>
        <v>0</v>
      </c>
      <c r="D129" s="57">
        <f>SUM(D130:D131)</f>
        <v>0</v>
      </c>
    </row>
    <row r="130" spans="1:4" s="17" customFormat="1">
      <c r="A130" s="31" t="s">
        <v>206</v>
      </c>
      <c r="B130" s="23" t="s">
        <v>207</v>
      </c>
      <c r="C130" s="47"/>
      <c r="D130" s="56"/>
    </row>
    <row r="131" spans="1:4" s="17" customFormat="1">
      <c r="A131" s="31" t="s">
        <v>208</v>
      </c>
      <c r="B131" s="23" t="s">
        <v>209</v>
      </c>
      <c r="C131" s="47"/>
      <c r="D131" s="56"/>
    </row>
    <row r="132" spans="1:4" s="17" customFormat="1" ht="25.5">
      <c r="A132" s="24">
        <v>3.15</v>
      </c>
      <c r="B132" s="23" t="s">
        <v>210</v>
      </c>
      <c r="C132" s="47"/>
      <c r="D132" s="56"/>
    </row>
    <row r="133" spans="1:4" s="17" customFormat="1">
      <c r="A133" s="26">
        <v>3.16</v>
      </c>
      <c r="B133" s="23" t="s">
        <v>229</v>
      </c>
      <c r="C133" s="47"/>
      <c r="D133" s="56"/>
    </row>
    <row r="134" spans="1:4" s="17" customFormat="1">
      <c r="A134" s="26">
        <v>3.18</v>
      </c>
      <c r="B134" s="23" t="s">
        <v>65</v>
      </c>
      <c r="C134" s="47"/>
      <c r="D134" s="56"/>
    </row>
    <row r="135" spans="1:4" s="17" customFormat="1">
      <c r="A135" s="24">
        <v>3.19</v>
      </c>
      <c r="B135" s="23" t="s">
        <v>66</v>
      </c>
      <c r="C135" s="47"/>
      <c r="D135" s="56"/>
    </row>
    <row r="136" spans="1:4" s="17" customFormat="1">
      <c r="A136" s="27" t="s">
        <v>67</v>
      </c>
      <c r="B136" s="28"/>
      <c r="C136" s="70">
        <f>SUM(C97,C100,C103,C106,C109,C115,C120,C123,C124,C125,C126,C127,C128,C129,C132,C134,C135,C133)</f>
        <v>0</v>
      </c>
      <c r="D136" s="71">
        <f>SUM(D97,D100,D103,D106,D109,D115,D120,D123,D124,D125,D126,D127,D128,D129,D132,D134,D135,D133)</f>
        <v>0</v>
      </c>
    </row>
    <row r="137" spans="1:4" s="17" customFormat="1" ht="14.25">
      <c r="A137" s="91" t="s">
        <v>68</v>
      </c>
      <c r="B137" s="91"/>
      <c r="C137" s="91"/>
      <c r="D137" s="91"/>
    </row>
    <row r="138" spans="1:4" s="17" customFormat="1" ht="25.5">
      <c r="A138" s="21">
        <v>4.0999999999999996</v>
      </c>
      <c r="B138" s="22" t="s">
        <v>125</v>
      </c>
      <c r="C138" s="59"/>
      <c r="D138" s="60"/>
    </row>
    <row r="139" spans="1:4" s="17" customFormat="1">
      <c r="A139" s="24">
        <v>4.2</v>
      </c>
      <c r="B139" s="23" t="s">
        <v>69</v>
      </c>
      <c r="C139" s="54"/>
      <c r="D139" s="86"/>
    </row>
    <row r="140" spans="1:4" s="17" customFormat="1">
      <c r="A140" s="24">
        <v>4.3</v>
      </c>
      <c r="B140" s="23" t="s">
        <v>211</v>
      </c>
      <c r="C140" s="87"/>
      <c r="D140" s="88"/>
    </row>
    <row r="141" spans="1:4" s="17" customFormat="1">
      <c r="A141" s="24">
        <v>4.4000000000000004</v>
      </c>
      <c r="B141" s="23" t="s">
        <v>70</v>
      </c>
      <c r="C141" s="47"/>
      <c r="D141" s="56"/>
    </row>
    <row r="142" spans="1:4" s="17" customFormat="1">
      <c r="A142" s="24">
        <v>4.5</v>
      </c>
      <c r="B142" s="25" t="s">
        <v>71</v>
      </c>
      <c r="C142" s="47"/>
      <c r="D142" s="56"/>
    </row>
    <row r="143" spans="1:4" s="17" customFormat="1" ht="21.75" customHeight="1">
      <c r="A143" s="24">
        <v>4.5999999999999996</v>
      </c>
      <c r="B143" s="23" t="s">
        <v>212</v>
      </c>
      <c r="C143" s="47"/>
      <c r="D143" s="56"/>
    </row>
    <row r="144" spans="1:4" s="17" customFormat="1">
      <c r="A144" s="24">
        <v>4.7</v>
      </c>
      <c r="B144" s="25" t="s">
        <v>213</v>
      </c>
      <c r="C144" s="47"/>
      <c r="D144" s="56"/>
    </row>
    <row r="145" spans="1:4" s="17" customFormat="1">
      <c r="A145" s="24">
        <v>4.8</v>
      </c>
      <c r="B145" s="23" t="s">
        <v>126</v>
      </c>
      <c r="C145" s="47"/>
      <c r="D145" s="56"/>
    </row>
    <row r="146" spans="1:4" s="17" customFormat="1">
      <c r="A146" s="24">
        <v>4.9000000000000004</v>
      </c>
      <c r="B146" s="23" t="s">
        <v>72</v>
      </c>
      <c r="C146" s="47"/>
      <c r="D146" s="56"/>
    </row>
    <row r="147" spans="1:4" s="17" customFormat="1">
      <c r="A147" s="29">
        <v>4.0999999999999996</v>
      </c>
      <c r="B147" s="23" t="s">
        <v>73</v>
      </c>
      <c r="C147" s="47"/>
      <c r="D147" s="56"/>
    </row>
    <row r="148" spans="1:4" s="17" customFormat="1">
      <c r="A148" s="29">
        <v>4.1100000000000003</v>
      </c>
      <c r="B148" s="23" t="s">
        <v>74</v>
      </c>
      <c r="C148" s="47"/>
      <c r="D148" s="56"/>
    </row>
    <row r="149" spans="1:4" s="17" customFormat="1">
      <c r="A149" s="29">
        <v>4.12</v>
      </c>
      <c r="B149" s="23" t="s">
        <v>214</v>
      </c>
      <c r="C149" s="47"/>
      <c r="D149" s="56"/>
    </row>
    <row r="150" spans="1:4" s="17" customFormat="1">
      <c r="A150" s="29">
        <v>4.13</v>
      </c>
      <c r="B150" s="23" t="s">
        <v>75</v>
      </c>
      <c r="C150" s="47"/>
      <c r="D150" s="56"/>
    </row>
    <row r="151" spans="1:4" s="17" customFormat="1">
      <c r="A151" s="29">
        <v>4.1399999999999997</v>
      </c>
      <c r="B151" s="23" t="s">
        <v>76</v>
      </c>
      <c r="C151" s="47"/>
      <c r="D151" s="56"/>
    </row>
    <row r="152" spans="1:4" s="17" customFormat="1">
      <c r="A152" s="29">
        <v>4.1500000000000004</v>
      </c>
      <c r="B152" s="23" t="s">
        <v>77</v>
      </c>
      <c r="C152" s="47"/>
      <c r="D152" s="56"/>
    </row>
    <row r="153" spans="1:4" s="17" customFormat="1">
      <c r="A153" s="29">
        <v>4.16</v>
      </c>
      <c r="B153" s="23" t="s">
        <v>78</v>
      </c>
      <c r="C153" s="50">
        <f>SUM(C154:C155)</f>
        <v>0</v>
      </c>
      <c r="D153" s="57">
        <f>SUM(D154:D155)</f>
        <v>0</v>
      </c>
    </row>
    <row r="154" spans="1:4" s="17" customFormat="1" ht="21" customHeight="1">
      <c r="A154" s="29" t="s">
        <v>127</v>
      </c>
      <c r="B154" s="23" t="s">
        <v>215</v>
      </c>
      <c r="C154" s="47"/>
      <c r="D154" s="56"/>
    </row>
    <row r="155" spans="1:4" s="17" customFormat="1" ht="20.25" customHeight="1">
      <c r="A155" s="29" t="s">
        <v>128</v>
      </c>
      <c r="B155" s="23" t="s">
        <v>216</v>
      </c>
      <c r="C155" s="47"/>
      <c r="D155" s="56"/>
    </row>
    <row r="156" spans="1:4" s="17" customFormat="1">
      <c r="A156" s="29">
        <v>4.17</v>
      </c>
      <c r="B156" s="23" t="s">
        <v>129</v>
      </c>
      <c r="C156" s="47"/>
      <c r="D156" s="56"/>
    </row>
    <row r="157" spans="1:4" s="17" customFormat="1">
      <c r="A157" s="29">
        <v>4.18</v>
      </c>
      <c r="B157" s="23" t="s">
        <v>130</v>
      </c>
      <c r="C157" s="47"/>
      <c r="D157" s="56"/>
    </row>
    <row r="158" spans="1:4" s="17" customFormat="1" ht="25.5">
      <c r="A158" s="29">
        <v>4.1900000000000004</v>
      </c>
      <c r="B158" s="23" t="s">
        <v>217</v>
      </c>
      <c r="C158" s="47"/>
      <c r="D158" s="56"/>
    </row>
    <row r="159" spans="1:4" s="17" customFormat="1">
      <c r="A159" s="29">
        <v>4.21</v>
      </c>
      <c r="B159" s="23" t="s">
        <v>79</v>
      </c>
      <c r="C159" s="47"/>
      <c r="D159" s="56"/>
    </row>
    <row r="160" spans="1:4" s="17" customFormat="1">
      <c r="A160" s="107" t="s">
        <v>80</v>
      </c>
      <c r="B160" s="108"/>
      <c r="C160" s="70">
        <f>SUM(C138:C152,C153,C156:C159)</f>
        <v>0</v>
      </c>
      <c r="D160" s="73">
        <f>SUM(D138:D152,D153,D156:D159)</f>
        <v>0</v>
      </c>
    </row>
    <row r="161" spans="1:4" s="17" customFormat="1">
      <c r="A161" s="113" t="s">
        <v>81</v>
      </c>
      <c r="B161" s="114"/>
      <c r="C161" s="74">
        <f>C136-C160</f>
        <v>0</v>
      </c>
      <c r="D161" s="75">
        <f>D136-D160</f>
        <v>0</v>
      </c>
    </row>
    <row r="162" spans="1:4" s="17" customFormat="1" ht="14.25">
      <c r="A162" s="100" t="s">
        <v>82</v>
      </c>
      <c r="B162" s="101"/>
      <c r="C162" s="101"/>
      <c r="D162" s="102"/>
    </row>
    <row r="163" spans="1:4" s="17" customFormat="1">
      <c r="A163" s="21">
        <v>5.0999999999999996</v>
      </c>
      <c r="B163" s="58" t="s">
        <v>83</v>
      </c>
      <c r="C163" s="84"/>
      <c r="D163" s="85"/>
    </row>
    <row r="164" spans="1:4" s="17" customFormat="1">
      <c r="A164" s="24">
        <v>5.2</v>
      </c>
      <c r="B164" s="25" t="s">
        <v>84</v>
      </c>
      <c r="C164" s="54"/>
      <c r="D164" s="56"/>
    </row>
    <row r="165" spans="1:4" s="17" customFormat="1">
      <c r="A165" s="24">
        <v>5.3</v>
      </c>
      <c r="B165" s="25" t="s">
        <v>85</v>
      </c>
      <c r="C165" s="54"/>
      <c r="D165" s="56"/>
    </row>
    <row r="166" spans="1:4" s="17" customFormat="1">
      <c r="A166" s="24">
        <v>5.4</v>
      </c>
      <c r="B166" s="23" t="s">
        <v>218</v>
      </c>
      <c r="C166" s="54"/>
      <c r="D166" s="56"/>
    </row>
    <row r="167" spans="1:4" s="17" customFormat="1">
      <c r="A167" s="16" t="s">
        <v>86</v>
      </c>
      <c r="B167" s="53"/>
      <c r="C167" s="70">
        <f>SUM(C163:C166)</f>
        <v>0</v>
      </c>
      <c r="D167" s="71">
        <f>SUM(D163:D166)</f>
        <v>0</v>
      </c>
    </row>
    <row r="168" spans="1:4" s="17" customFormat="1" ht="14.25">
      <c r="A168" s="100" t="s">
        <v>87</v>
      </c>
      <c r="B168" s="101"/>
      <c r="C168" s="101"/>
      <c r="D168" s="102"/>
    </row>
    <row r="169" spans="1:4" s="17" customFormat="1">
      <c r="A169" s="21">
        <v>6.1</v>
      </c>
      <c r="B169" s="58" t="s">
        <v>88</v>
      </c>
      <c r="C169" s="59"/>
      <c r="D169" s="60"/>
    </row>
    <row r="170" spans="1:4" s="17" customFormat="1">
      <c r="A170" s="24">
        <v>6.2</v>
      </c>
      <c r="B170" s="25" t="s">
        <v>89</v>
      </c>
      <c r="C170" s="54"/>
      <c r="D170" s="55"/>
    </row>
    <row r="171" spans="1:4" s="17" customFormat="1">
      <c r="A171" s="31" t="s">
        <v>139</v>
      </c>
      <c r="B171" s="23" t="s">
        <v>131</v>
      </c>
      <c r="C171" s="48"/>
      <c r="D171" s="55"/>
    </row>
    <row r="172" spans="1:4" s="17" customFormat="1">
      <c r="A172" s="24">
        <v>6.3</v>
      </c>
      <c r="B172" s="25" t="s">
        <v>90</v>
      </c>
      <c r="C172" s="47"/>
      <c r="D172" s="56"/>
    </row>
    <row r="173" spans="1:4" s="17" customFormat="1">
      <c r="A173" s="24">
        <v>6.4</v>
      </c>
      <c r="B173" s="25" t="s">
        <v>219</v>
      </c>
      <c r="C173" s="47"/>
      <c r="D173" s="56"/>
    </row>
    <row r="174" spans="1:4" s="17" customFormat="1">
      <c r="A174" s="103" t="s">
        <v>91</v>
      </c>
      <c r="B174" s="104"/>
      <c r="C174" s="70">
        <f>SUM(C169:C170,C172:C173)</f>
        <v>0</v>
      </c>
      <c r="D174" s="71">
        <f>SUM(D169:D170,D172:D173)</f>
        <v>0</v>
      </c>
    </row>
    <row r="175" spans="1:4" s="17" customFormat="1">
      <c r="A175" s="105" t="s">
        <v>92</v>
      </c>
      <c r="B175" s="106"/>
      <c r="C175" s="77">
        <f>C167-C174</f>
        <v>0</v>
      </c>
      <c r="D175" s="78">
        <f>D167-D174</f>
        <v>0</v>
      </c>
    </row>
    <row r="176" spans="1:4" s="17" customFormat="1">
      <c r="A176" s="99"/>
      <c r="B176" s="99"/>
      <c r="C176" s="99"/>
      <c r="D176" s="99"/>
    </row>
    <row r="177" spans="1:4" s="17" customFormat="1">
      <c r="A177" s="109" t="s">
        <v>93</v>
      </c>
      <c r="B177" s="110"/>
      <c r="C177" s="79">
        <f>C95+C161-C175</f>
        <v>0</v>
      </c>
      <c r="D177" s="76">
        <f>D95+D161-D175</f>
        <v>0</v>
      </c>
    </row>
    <row r="178" spans="1:4" s="17" customFormat="1">
      <c r="A178" s="111" t="s">
        <v>94</v>
      </c>
      <c r="B178" s="112"/>
      <c r="C178" s="54"/>
      <c r="D178" s="55"/>
    </row>
    <row r="179" spans="1:4" s="17" customFormat="1">
      <c r="A179" s="111" t="s">
        <v>95</v>
      </c>
      <c r="B179" s="112"/>
      <c r="C179" s="80">
        <f>C177-C178</f>
        <v>0</v>
      </c>
      <c r="D179" s="81">
        <f>D177-D178</f>
        <v>0</v>
      </c>
    </row>
    <row r="180" spans="1:4" s="17" customFormat="1">
      <c r="A180" s="111" t="s">
        <v>132</v>
      </c>
      <c r="B180" s="112"/>
      <c r="C180" s="80">
        <f>C181+C182</f>
        <v>0</v>
      </c>
      <c r="D180" s="81">
        <f>D181+D182</f>
        <v>0</v>
      </c>
    </row>
    <row r="181" spans="1:4" s="17" customFormat="1">
      <c r="A181" s="111" t="s">
        <v>133</v>
      </c>
      <c r="B181" s="112"/>
      <c r="C181" s="54"/>
      <c r="D181" s="55"/>
    </row>
    <row r="182" spans="1:4" s="17" customFormat="1">
      <c r="A182" s="111" t="s">
        <v>134</v>
      </c>
      <c r="B182" s="112"/>
      <c r="C182" s="54"/>
      <c r="D182" s="55"/>
    </row>
    <row r="183" spans="1:4" s="17" customFormat="1" ht="12" customHeight="1">
      <c r="A183" s="103" t="s">
        <v>96</v>
      </c>
      <c r="B183" s="104"/>
      <c r="C183" s="82">
        <f>C179-C180</f>
        <v>0</v>
      </c>
      <c r="D183" s="83">
        <f>D179-D180</f>
        <v>0</v>
      </c>
    </row>
    <row r="184" spans="1:4" s="17" customFormat="1">
      <c r="A184" s="61"/>
      <c r="B184" s="61"/>
      <c r="C184" s="62"/>
      <c r="D184" s="62"/>
    </row>
    <row r="185" spans="1:4">
      <c r="B185" s="32" t="s">
        <v>220</v>
      </c>
      <c r="C185" s="40"/>
    </row>
    <row r="186" spans="1:4">
      <c r="A186" s="5"/>
      <c r="B186" s="33" t="s">
        <v>136</v>
      </c>
      <c r="C186" s="40"/>
    </row>
    <row r="187" spans="1:4">
      <c r="A187" s="5"/>
    </row>
    <row r="188" spans="1:4">
      <c r="A188" s="5"/>
      <c r="B188" s="17"/>
    </row>
    <row r="189" spans="1:4">
      <c r="A189" s="5"/>
      <c r="B189" s="8" t="s">
        <v>221</v>
      </c>
      <c r="C189" s="41"/>
    </row>
    <row r="190" spans="1:4">
      <c r="A190" s="5"/>
      <c r="B190" s="18" t="s">
        <v>97</v>
      </c>
    </row>
    <row r="191" spans="1:4">
      <c r="B191" s="8" t="s">
        <v>98</v>
      </c>
      <c r="C191" s="41"/>
    </row>
  </sheetData>
  <sheetProtection password="B828" sheet="1" objects="1" scenarios="1"/>
  <mergeCells count="19">
    <mergeCell ref="A183:B183"/>
    <mergeCell ref="A177:B177"/>
    <mergeCell ref="A178:B178"/>
    <mergeCell ref="A179:B179"/>
    <mergeCell ref="A95:B95"/>
    <mergeCell ref="A160:B160"/>
    <mergeCell ref="A161:B161"/>
    <mergeCell ref="A180:B180"/>
    <mergeCell ref="A181:B181"/>
    <mergeCell ref="A182:B182"/>
    <mergeCell ref="B1:D1"/>
    <mergeCell ref="C6:D6"/>
    <mergeCell ref="C7:D7"/>
    <mergeCell ref="A176:D176"/>
    <mergeCell ref="A162:D162"/>
    <mergeCell ref="A168:D168"/>
    <mergeCell ref="A174:B174"/>
    <mergeCell ref="A175:B175"/>
    <mergeCell ref="A94:B94"/>
  </mergeCells>
  <phoneticPr fontId="0" type="noConversion"/>
  <dataValidations xWindow="900" yWindow="401" count="1">
    <dataValidation type="date" operator="greaterThanOrEqual" allowBlank="1" showInputMessage="1" showErrorMessage="1" errorTitle="Error" error="You must enter a date in this format_x000a_                 dd/mm/yy" promptTitle="Warning" prompt="You must enter a date in this format_x000a_                 dd/mm/yy" sqref="C9:C10">
      <formula1>1</formula1>
    </dataValidation>
  </dataValidations>
  <printOptions horizontalCentered="1" gridLinesSet="0"/>
  <pageMargins left="0.25" right="0.25" top="0.25" bottom="0.25" header="0.25" footer="0.25"/>
  <pageSetup paperSize="9" scale="70" fitToHeight="2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171</vt:i4>
      </vt:variant>
    </vt:vector>
  </HeadingPairs>
  <TitlesOfParts>
    <vt:vector size="172" baseType="lpstr">
      <vt:lpstr>Sheet1</vt:lpstr>
      <vt:lpstr>a01</vt:lpstr>
      <vt:lpstr>a02V5_II_CorAc_Res</vt:lpstr>
      <vt:lpstr>a03V5_II_CorAc_NonRes</vt:lpstr>
      <vt:lpstr>a04</vt:lpstr>
      <vt:lpstr>a05V5_II_BankFinOrg_ResBank</vt:lpstr>
      <vt:lpstr>a06V5_II_BankFinOrg_ResFinOrg</vt:lpstr>
      <vt:lpstr>a07V5_II_BankFinOrg_NonRes</vt:lpstr>
      <vt:lpstr>a08</vt:lpstr>
      <vt:lpstr>a09V5_II_Loan_ResOrg</vt:lpstr>
      <vt:lpstr>a10V5_II_Loan_ResIndivid</vt:lpstr>
      <vt:lpstr>a11V5_II_Loan_NonRes</vt:lpstr>
      <vt:lpstr>a12V5_II_Overn</vt:lpstr>
      <vt:lpstr>a13</vt:lpstr>
      <vt:lpstr>a14V5_II_LoanCard_Res</vt:lpstr>
      <vt:lpstr>a15V5_II_LoanCard_ResInd</vt:lpstr>
      <vt:lpstr>a16V5_II_LoanCard_NonRes</vt:lpstr>
      <vt:lpstr>a17V5_II_LoanCard_NonResInd</vt:lpstr>
      <vt:lpstr>a18V5_II_Emp_Fund</vt:lpstr>
      <vt:lpstr>a19</vt:lpstr>
      <vt:lpstr>a20V5_II_CredOrgPers_Res</vt:lpstr>
      <vt:lpstr>a21V5_II_CredOrgPers_NoRes</vt:lpstr>
      <vt:lpstr>a22</vt:lpstr>
      <vt:lpstr>a23V5_II_GovSec_Res</vt:lpstr>
      <vt:lpstr>a24V5_II_GovSec_NonRes</vt:lpstr>
      <vt:lpstr>a25</vt:lpstr>
      <vt:lpstr>a26V5_II_Repo_Res</vt:lpstr>
      <vt:lpstr>a27V5_II_Repo_NonRes</vt:lpstr>
      <vt:lpstr>a28</vt:lpstr>
      <vt:lpstr>a29V5_II_BankIssuedSec_Res</vt:lpstr>
      <vt:lpstr>a30V5_II_BankIssuedSec_NonRes</vt:lpstr>
      <vt:lpstr>a31</vt:lpstr>
      <vt:lpstr>a32V5_II_OrgIssuedSec_Res</vt:lpstr>
      <vt:lpstr>a33V5_II_OrgIssuedSec_NonRes</vt:lpstr>
      <vt:lpstr>a34</vt:lpstr>
      <vt:lpstr>a35V5_II_Leasing_Res</vt:lpstr>
      <vt:lpstr>a36V5_II_Leasing_NonRes</vt:lpstr>
      <vt:lpstr>a37</vt:lpstr>
      <vt:lpstr>a38V5_II_Other_Res</vt:lpstr>
      <vt:lpstr>a39V5_II_Other_NonRes</vt:lpstr>
      <vt:lpstr>b01</vt:lpstr>
      <vt:lpstr>b02V5_IE_DemDepos_ResOrg</vt:lpstr>
      <vt:lpstr>b03V5_IE_DemDepos_ResIndivid</vt:lpstr>
      <vt:lpstr>b04V5_IE_DemDepos_ResIndOrg</vt:lpstr>
      <vt:lpstr>b05V5_IE_DemDepos_ResPublicOrg</vt:lpstr>
      <vt:lpstr>b06V5_IE_DemDepos_NonResPart</vt:lpstr>
      <vt:lpstr>b07V5_IE_DemDepos_NonRes</vt:lpstr>
      <vt:lpstr>b08</vt:lpstr>
      <vt:lpstr>b09V5_IE_SecSale_Res</vt:lpstr>
      <vt:lpstr>b10V5_IE_SecSale_NonRes</vt:lpstr>
      <vt:lpstr>b11</vt:lpstr>
      <vt:lpstr>b12V5_IE_BankFinOrg_ResBank</vt:lpstr>
      <vt:lpstr>b13V5_IE_BankFinOrg_ResFinOrg</vt:lpstr>
      <vt:lpstr>b14V5_IE_BankFinOrg_NonRes</vt:lpstr>
      <vt:lpstr>b15</vt:lpstr>
      <vt:lpstr>b16V5_IE_AttrDep_ResOrg</vt:lpstr>
      <vt:lpstr>b17V5_IE_AttrDep_ResIndivid</vt:lpstr>
      <vt:lpstr>b18V5_IE_AttrDep_ResIndOrg</vt:lpstr>
      <vt:lpstr>b19V5_IE_AttrDep_ResPublicOrg</vt:lpstr>
      <vt:lpstr>b20V5_IE_AttrDep_NonRes</vt:lpstr>
      <vt:lpstr>b21V5_IE_AttrDep_OthNonRes</vt:lpstr>
      <vt:lpstr>b22</vt:lpstr>
      <vt:lpstr>b23V5_IE_GovSec_Cred</vt:lpstr>
      <vt:lpstr>b24V5_IE_GovSec_Oth</vt:lpstr>
      <vt:lpstr>b25V5_IE_GovSec_LocGov</vt:lpstr>
      <vt:lpstr>b26V5_IE_GovSec_OthGov</vt:lpstr>
      <vt:lpstr>b27V5_IE_InterFinOrg</vt:lpstr>
      <vt:lpstr>b28</vt:lpstr>
      <vt:lpstr>b29V5_IE_OverdrOvern_Res</vt:lpstr>
      <vt:lpstr>b30V5_IE_OverdrOvern_NonRes</vt:lpstr>
      <vt:lpstr>b31V5_IE_BankSec</vt:lpstr>
      <vt:lpstr>b32</vt:lpstr>
      <vt:lpstr>b33V5_IE_Leasing_Res</vt:lpstr>
      <vt:lpstr>b34V5_IE_Leasing_NonRes</vt:lpstr>
      <vt:lpstr>b35</vt:lpstr>
      <vt:lpstr>b36V5_IE_Other_Res</vt:lpstr>
      <vt:lpstr>b37V5_IE_Other_NoRes</vt:lpstr>
      <vt:lpstr>Company</vt:lpstr>
      <vt:lpstr>d01</vt:lpstr>
      <vt:lpstr>d02V5_NII_Services_Res</vt:lpstr>
      <vt:lpstr>d03V5_NII_Services_NoRes</vt:lpstr>
      <vt:lpstr>d04</vt:lpstr>
      <vt:lpstr>d05V5_NII_Guaranties_Res</vt:lpstr>
      <vt:lpstr>d06V5_NII_Guaranties_NoRes</vt:lpstr>
      <vt:lpstr>d07</vt:lpstr>
      <vt:lpstr>d08V5_NII_ForwardFutures_Res</vt:lpstr>
      <vt:lpstr>d09V5_NII_ForwardFutures_NonRe</vt:lpstr>
      <vt:lpstr>d10</vt:lpstr>
      <vt:lpstr>d11V5_NII_Factoring_Res</vt:lpstr>
      <vt:lpstr>d12V5_NII_Factoring_NonRes</vt:lpstr>
      <vt:lpstr>d13</vt:lpstr>
      <vt:lpstr>d14V5_NII_Investm_Divid</vt:lpstr>
      <vt:lpstr>d15V5_NII_Investm_Accos</vt:lpstr>
      <vt:lpstr>d16V5_NII_Investm_Sup</vt:lpstr>
      <vt:lpstr>d17V5_NII_Investm_SubBank</vt:lpstr>
      <vt:lpstr>d18V5_NII_Investm_OthSub</vt:lpstr>
      <vt:lpstr>d19</vt:lpstr>
      <vt:lpstr>d20V5_NII_SecSold_Res</vt:lpstr>
      <vt:lpstr>d21V5_NII_SecSold_ResNonGov</vt:lpstr>
      <vt:lpstr>d22V5_NII_SecSold_NoRes</vt:lpstr>
      <vt:lpstr>d23V5_NII_SecSold_NoRes_NonGov</vt:lpstr>
      <vt:lpstr>d24</vt:lpstr>
      <vt:lpstr>d25V5_NII_RevSecSold</vt:lpstr>
      <vt:lpstr>d26V5_NII_RevSecSold_NonGov</vt:lpstr>
      <vt:lpstr>d27V5_NII_FXOperat</vt:lpstr>
      <vt:lpstr>d28V5_NII_FXReval</vt:lpstr>
      <vt:lpstr>d29V5_NII_FixAssDispos</vt:lpstr>
      <vt:lpstr>d30V5_NII_Revaluation</vt:lpstr>
      <vt:lpstr>d31V5_NII_InTAss</vt:lpstr>
      <vt:lpstr>d32V5_NII_InTAss_Reval</vt:lpstr>
      <vt:lpstr>d33</vt:lpstr>
      <vt:lpstr>d34V5_NII_FinAss_Reval_Gov</vt:lpstr>
      <vt:lpstr>d35V5_NII_FinAss_Reval_NonGov</vt:lpstr>
      <vt:lpstr>d36V5_NII_Gold</vt:lpstr>
      <vt:lpstr>d37V5_NII_InvestServ</vt:lpstr>
      <vt:lpstr>d39V5_NII_FeesPenalt</vt:lpstr>
      <vt:lpstr>d40V5_NII_Other</vt:lpstr>
      <vt:lpstr>Date1</vt:lpstr>
      <vt:lpstr>Date2</vt:lpstr>
      <vt:lpstr>e01V5_NIE_SalPaym</vt:lpstr>
      <vt:lpstr>e02V5_NIE_Travel</vt:lpstr>
      <vt:lpstr>e03V5_NIE_InsurPensUnimpFund</vt:lpstr>
      <vt:lpstr>e04V5_NIE_Taxes</vt:lpstr>
      <vt:lpstr>e05V5_NIE_FixAssDeprec</vt:lpstr>
      <vt:lpstr>e06V5_NIE_LeasePay</vt:lpstr>
      <vt:lpstr>e07V5_NIE_BuildMaintenance</vt:lpstr>
      <vt:lpstr>e08V5_NIE_Cred</vt:lpstr>
      <vt:lpstr>e09V5_NIE_AdverRepres</vt:lpstr>
      <vt:lpstr>e10V5_NIE_Stationery</vt:lpstr>
      <vt:lpstr>e11V5_NIE_AudAdvisServ</vt:lpstr>
      <vt:lpstr>e12V5_NIE_HardSoft</vt:lpstr>
      <vt:lpstr>e13V5_NIE_Transport</vt:lpstr>
      <vt:lpstr>e14V5_NIE_Communicat</vt:lpstr>
      <vt:lpstr>e15V5_NIE_FeesPenalt</vt:lpstr>
      <vt:lpstr>e16</vt:lpstr>
      <vt:lpstr>e17V5_NIE_Training_AM</vt:lpstr>
      <vt:lpstr>e18V5_NIE_Training_In</vt:lpstr>
      <vt:lpstr>e19V5_NIE_Commissions</vt:lpstr>
      <vt:lpstr>e20V5_NIE_Insh</vt:lpstr>
      <vt:lpstr>e21V5_NIE_Sec</vt:lpstr>
      <vt:lpstr>e23V5_NIE_Other</vt:lpstr>
      <vt:lpstr>e24</vt:lpstr>
      <vt:lpstr>e25</vt:lpstr>
      <vt:lpstr>e26</vt:lpstr>
      <vt:lpstr>e27V5_Asign_LLRF_GeneralRes</vt:lpstr>
      <vt:lpstr>e28V5_Asign_LLRF_SpecialRes</vt:lpstr>
      <vt:lpstr>e29V5_Asign_SecLRF</vt:lpstr>
      <vt:lpstr>e30V5_Assign_BankAcr</vt:lpstr>
      <vt:lpstr>e31</vt:lpstr>
      <vt:lpstr>e32</vt:lpstr>
      <vt:lpstr>e33V5_Collect_LLRF_GeneralRes</vt:lpstr>
      <vt:lpstr>e34V5_Collect_LLRF_SpecialRes</vt:lpstr>
      <vt:lpstr>e35V5_Collect_LLRF_SpecialResC</vt:lpstr>
      <vt:lpstr>e36V5_Collect_SecLRF</vt:lpstr>
      <vt:lpstr>e37V5_Collect_BankAcr</vt:lpstr>
      <vt:lpstr>e38</vt:lpstr>
      <vt:lpstr>e39</vt:lpstr>
      <vt:lpstr>e40</vt:lpstr>
      <vt:lpstr>e41</vt:lpstr>
      <vt:lpstr>e42V5_ProfTax</vt:lpstr>
      <vt:lpstr>e43</vt:lpstr>
      <vt:lpstr>e44</vt:lpstr>
      <vt:lpstr>e45V5_DividPrefSh</vt:lpstr>
      <vt:lpstr>e46V5_DividOrdinSh</vt:lpstr>
      <vt:lpstr>e47</vt:lpstr>
      <vt:lpstr>Name</vt:lpstr>
      <vt:lpstr>x39b</vt:lpstr>
      <vt:lpstr>x40a</vt:lpstr>
      <vt:lpstr>x41d</vt:lpstr>
      <vt:lpstr>x47e</vt:lpstr>
      <vt:lpstr>yV5_Attendants</vt:lpstr>
      <vt:lpstr>yV5_Employees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Stepan Ghazaryan</dc:creator>
  <cp:lastModifiedBy>cloudconvert_19</cp:lastModifiedBy>
  <cp:lastPrinted>2009-06-03T05:41:23Z</cp:lastPrinted>
  <dcterms:created xsi:type="dcterms:W3CDTF">2004-01-15T08:12:38Z</dcterms:created>
  <dcterms:modified xsi:type="dcterms:W3CDTF">2026-05-20T13:29:17Z</dcterms:modified>
</cp:coreProperties>
</file>